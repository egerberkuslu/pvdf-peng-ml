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3D765AA-6788-4F69-8A9A-638A59EE77FE}" xr6:coauthVersionLast="47" xr6:coauthVersionMax="47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Sheet1" sheetId="1" r:id="rId1"/>
    <sheet name="All dielectric constant &amp; los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5" l="1"/>
  <c r="AI9" i="5"/>
  <c r="H225" i="5"/>
  <c r="I224" i="5"/>
  <c r="I2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5" i="5"/>
  <c r="H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5" i="5"/>
  <c r="AO225" i="5"/>
  <c r="AO224" i="5"/>
  <c r="AO223" i="5"/>
  <c r="AO222" i="5"/>
  <c r="AO221" i="5"/>
  <c r="AO220" i="5"/>
  <c r="AO219" i="5"/>
  <c r="AO218" i="5"/>
  <c r="AO217" i="5"/>
  <c r="AO216" i="5"/>
  <c r="AO215" i="5"/>
  <c r="AO214" i="5"/>
  <c r="AO213" i="5"/>
  <c r="AO212" i="5"/>
  <c r="AO211" i="5"/>
  <c r="AO210" i="5"/>
  <c r="AO209" i="5"/>
  <c r="AO208" i="5"/>
  <c r="AO207" i="5"/>
  <c r="AO206" i="5"/>
  <c r="AO205" i="5"/>
  <c r="AO204" i="5"/>
  <c r="AO203" i="5"/>
  <c r="AO202" i="5"/>
  <c r="AO201" i="5"/>
  <c r="AO200" i="5"/>
  <c r="AO199" i="5"/>
  <c r="AO198" i="5"/>
  <c r="AO197" i="5"/>
  <c r="AO196" i="5"/>
  <c r="AO195" i="5"/>
  <c r="AO194" i="5"/>
  <c r="AO193" i="5"/>
  <c r="AO192" i="5"/>
  <c r="AO191" i="5"/>
  <c r="AO190" i="5"/>
  <c r="AO189" i="5"/>
  <c r="AO188" i="5"/>
  <c r="AO187" i="5"/>
  <c r="AO186" i="5"/>
  <c r="AO185" i="5"/>
  <c r="AO184" i="5"/>
  <c r="AO183" i="5"/>
  <c r="AO182" i="5"/>
  <c r="AO181" i="5"/>
  <c r="AO180" i="5"/>
  <c r="AO179" i="5"/>
  <c r="AO178" i="5"/>
  <c r="AO177" i="5"/>
  <c r="AO176" i="5"/>
  <c r="AO175" i="5"/>
  <c r="AO174" i="5"/>
  <c r="AO173" i="5"/>
  <c r="AO172" i="5"/>
  <c r="AO171" i="5"/>
  <c r="AO170" i="5"/>
  <c r="AO169" i="5"/>
  <c r="AO168" i="5"/>
  <c r="AO167" i="5"/>
  <c r="AO166" i="5"/>
  <c r="AO165" i="5"/>
  <c r="AO164" i="5"/>
  <c r="AO163" i="5"/>
  <c r="AO162" i="5"/>
  <c r="AO161" i="5"/>
  <c r="AO160" i="5"/>
  <c r="AO159" i="5"/>
  <c r="AO158" i="5"/>
  <c r="AO157" i="5"/>
  <c r="AO156" i="5"/>
  <c r="AO155" i="5"/>
  <c r="AO154" i="5"/>
  <c r="AO153" i="5"/>
  <c r="AO152" i="5"/>
  <c r="AO151" i="5"/>
  <c r="AO150" i="5"/>
  <c r="AO149" i="5"/>
  <c r="AO148" i="5"/>
  <c r="AO147" i="5"/>
  <c r="AO146" i="5"/>
  <c r="AO145" i="5"/>
  <c r="AO144" i="5"/>
  <c r="AO143" i="5"/>
  <c r="AO142" i="5"/>
  <c r="AO141" i="5"/>
  <c r="AO140" i="5"/>
  <c r="AO139" i="5"/>
  <c r="AO138" i="5"/>
  <c r="AO137" i="5"/>
  <c r="AO136" i="5"/>
  <c r="AO135" i="5"/>
  <c r="AO134" i="5"/>
  <c r="AO133" i="5"/>
  <c r="AO132" i="5"/>
  <c r="AO131" i="5"/>
  <c r="AO130" i="5"/>
  <c r="AO129" i="5"/>
  <c r="AO128" i="5"/>
  <c r="AO127" i="5"/>
  <c r="AO126" i="5"/>
  <c r="AO125" i="5"/>
  <c r="AO124" i="5"/>
  <c r="AO123" i="5"/>
  <c r="AO122" i="5"/>
  <c r="AO121" i="5"/>
  <c r="AO120" i="5"/>
  <c r="AO119" i="5"/>
  <c r="AO118" i="5"/>
  <c r="AO117" i="5"/>
  <c r="AO116" i="5"/>
  <c r="AO115" i="5"/>
  <c r="AO114" i="5"/>
  <c r="AO113" i="5"/>
  <c r="AO112" i="5"/>
  <c r="AO111" i="5"/>
  <c r="AO110" i="5"/>
  <c r="AO109" i="5"/>
  <c r="AO108" i="5"/>
  <c r="AO107" i="5"/>
  <c r="AO106" i="5"/>
  <c r="AO105" i="5"/>
  <c r="AO104" i="5"/>
  <c r="AO103" i="5"/>
  <c r="AO102" i="5"/>
  <c r="AO101" i="5"/>
  <c r="AO100" i="5"/>
  <c r="AO99" i="5"/>
  <c r="AO98" i="5"/>
  <c r="AO97" i="5"/>
  <c r="AO96" i="5"/>
  <c r="AO95" i="5"/>
  <c r="AO94" i="5"/>
  <c r="AO93" i="5"/>
  <c r="AO92" i="5"/>
  <c r="AO91" i="5"/>
  <c r="AO90" i="5"/>
  <c r="AO89" i="5"/>
  <c r="AO88" i="5"/>
  <c r="AO87" i="5"/>
  <c r="AO86" i="5"/>
  <c r="AO85" i="5"/>
  <c r="AO84" i="5"/>
  <c r="AO83" i="5"/>
  <c r="AO82" i="5"/>
  <c r="AO81" i="5"/>
  <c r="AO80" i="5"/>
  <c r="AO79" i="5"/>
  <c r="AO78" i="5"/>
  <c r="AO77" i="5"/>
  <c r="AO76" i="5"/>
  <c r="AO75" i="5"/>
  <c r="AO74" i="5"/>
  <c r="AO73" i="5"/>
  <c r="AO72" i="5"/>
  <c r="AO71" i="5"/>
  <c r="AO70" i="5"/>
  <c r="AO69" i="5"/>
  <c r="AO68" i="5"/>
  <c r="AO67" i="5"/>
  <c r="AO66" i="5"/>
  <c r="AO65" i="5"/>
  <c r="AO64" i="5"/>
  <c r="AO63" i="5"/>
  <c r="AO62" i="5"/>
  <c r="AO61" i="5"/>
  <c r="AO60" i="5"/>
  <c r="AO59" i="5"/>
  <c r="AO58" i="5"/>
  <c r="AO57" i="5"/>
  <c r="AO56" i="5"/>
  <c r="AO55" i="5"/>
  <c r="AO54" i="5"/>
  <c r="AO53" i="5"/>
  <c r="AO52" i="5"/>
  <c r="AO51" i="5"/>
  <c r="AO50" i="5"/>
  <c r="AO49" i="5"/>
  <c r="AO48" i="5"/>
  <c r="AO47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N130" i="5" l="1"/>
  <c r="AN29" i="5"/>
  <c r="AN45" i="5"/>
  <c r="AN61" i="5"/>
  <c r="AN65" i="5"/>
  <c r="AN77" i="5"/>
  <c r="AN93" i="5"/>
  <c r="AN105" i="5"/>
  <c r="AN121" i="5"/>
  <c r="AN137" i="5"/>
  <c r="AN149" i="5"/>
  <c r="AN165" i="5"/>
  <c r="AN169" i="5"/>
  <c r="AN181" i="5"/>
  <c r="AN189" i="5"/>
  <c r="AN193" i="5"/>
  <c r="AN201" i="5"/>
  <c r="AN205" i="5"/>
  <c r="AN209" i="5"/>
  <c r="AN217" i="5"/>
  <c r="AN30" i="5"/>
  <c r="AN34" i="5"/>
  <c r="AN38" i="5"/>
  <c r="AN42" i="5"/>
  <c r="AN46" i="5"/>
  <c r="AN50" i="5"/>
  <c r="AN54" i="5"/>
  <c r="AN58" i="5"/>
  <c r="AN62" i="5"/>
  <c r="AN66" i="5"/>
  <c r="AN70" i="5"/>
  <c r="AN74" i="5"/>
  <c r="AN78" i="5"/>
  <c r="AN82" i="5"/>
  <c r="AN86" i="5"/>
  <c r="AN90" i="5"/>
  <c r="AN94" i="5"/>
  <c r="AN98" i="5"/>
  <c r="AN102" i="5"/>
  <c r="AN106" i="5"/>
  <c r="AN110" i="5"/>
  <c r="AN114" i="5"/>
  <c r="AN118" i="5"/>
  <c r="AN122" i="5"/>
  <c r="AN126" i="5"/>
  <c r="AN134" i="5"/>
  <c r="AN138" i="5"/>
  <c r="AN142" i="5"/>
  <c r="AN146" i="5"/>
  <c r="AN150" i="5"/>
  <c r="AN154" i="5"/>
  <c r="AN158" i="5"/>
  <c r="AN162" i="5"/>
  <c r="AN166" i="5"/>
  <c r="AN170" i="5"/>
  <c r="AN174" i="5"/>
  <c r="AN178" i="5"/>
  <c r="AN182" i="5"/>
  <c r="AN186" i="5"/>
  <c r="AN190" i="5"/>
  <c r="AN194" i="5"/>
  <c r="AN198" i="5"/>
  <c r="AN202" i="5"/>
  <c r="AN206" i="5"/>
  <c r="AN210" i="5"/>
  <c r="AN214" i="5"/>
  <c r="AN218" i="5"/>
  <c r="AN222" i="5"/>
  <c r="AN25" i="5"/>
  <c r="AN31" i="5"/>
  <c r="AN47" i="5"/>
  <c r="AN67" i="5"/>
  <c r="AN87" i="5"/>
  <c r="AN103" i="5"/>
  <c r="AN119" i="5"/>
  <c r="AN135" i="5"/>
  <c r="AN151" i="5"/>
  <c r="AN167" i="5"/>
  <c r="AN191" i="5"/>
  <c r="AN219" i="5"/>
  <c r="AN27" i="5"/>
  <c r="AN43" i="5"/>
  <c r="AN55" i="5"/>
  <c r="AN75" i="5"/>
  <c r="AN91" i="5"/>
  <c r="AN107" i="5"/>
  <c r="AN123" i="5"/>
  <c r="AN139" i="5"/>
  <c r="AN155" i="5"/>
  <c r="AN175" i="5"/>
  <c r="AN223" i="5"/>
  <c r="AN39" i="5"/>
  <c r="AN59" i="5"/>
  <c r="AN79" i="5"/>
  <c r="AN95" i="5"/>
  <c r="AN111" i="5"/>
  <c r="AN127" i="5"/>
  <c r="AN143" i="5"/>
  <c r="AN159" i="5"/>
  <c r="AN179" i="5"/>
  <c r="AN211" i="5"/>
  <c r="AN28" i="5"/>
  <c r="AN132" i="5"/>
  <c r="AN35" i="5"/>
  <c r="AN51" i="5"/>
  <c r="AN63" i="5"/>
  <c r="AN71" i="5"/>
  <c r="AN83" i="5"/>
  <c r="AN99" i="5"/>
  <c r="AN115" i="5"/>
  <c r="AN131" i="5"/>
  <c r="AN147" i="5"/>
  <c r="AN163" i="5"/>
  <c r="AN171" i="5"/>
  <c r="AN183" i="5"/>
  <c r="AN187" i="5"/>
  <c r="AN195" i="5"/>
  <c r="AN199" i="5"/>
  <c r="AN203" i="5"/>
  <c r="AN207" i="5"/>
  <c r="AN215" i="5"/>
  <c r="AN32" i="5"/>
  <c r="AN36" i="5"/>
  <c r="AN40" i="5"/>
  <c r="AN44" i="5"/>
  <c r="AN48" i="5"/>
  <c r="AN52" i="5"/>
  <c r="AN56" i="5"/>
  <c r="AN60" i="5"/>
  <c r="AN64" i="5"/>
  <c r="AN68" i="5"/>
  <c r="AN72" i="5"/>
  <c r="AN76" i="5"/>
  <c r="AN80" i="5"/>
  <c r="AN84" i="5"/>
  <c r="AN88" i="5"/>
  <c r="AN92" i="5"/>
  <c r="AN96" i="5"/>
  <c r="AN100" i="5"/>
  <c r="AN104" i="5"/>
  <c r="AN108" i="5"/>
  <c r="AN112" i="5"/>
  <c r="AN116" i="5"/>
  <c r="AN120" i="5"/>
  <c r="AN124" i="5"/>
  <c r="AN128" i="5"/>
  <c r="AN136" i="5"/>
  <c r="AN140" i="5"/>
  <c r="AN144" i="5"/>
  <c r="AN148" i="5"/>
  <c r="AN152" i="5"/>
  <c r="AN156" i="5"/>
  <c r="AN160" i="5"/>
  <c r="AN164" i="5"/>
  <c r="AN168" i="5"/>
  <c r="AN172" i="5"/>
  <c r="AN176" i="5"/>
  <c r="AN180" i="5"/>
  <c r="AN184" i="5"/>
  <c r="AN188" i="5"/>
  <c r="AN192" i="5"/>
  <c r="AN196" i="5"/>
  <c r="AN200" i="5"/>
  <c r="AN204" i="5"/>
  <c r="AN208" i="5"/>
  <c r="AN212" i="5"/>
  <c r="AN216" i="5"/>
  <c r="AN220" i="5"/>
  <c r="AN224" i="5"/>
  <c r="AN33" i="5"/>
  <c r="AN49" i="5"/>
  <c r="AN81" i="5"/>
  <c r="AN101" i="5"/>
  <c r="AN117" i="5"/>
  <c r="AN133" i="5"/>
  <c r="AN153" i="5"/>
  <c r="AN173" i="5"/>
  <c r="AN197" i="5"/>
  <c r="AN221" i="5"/>
  <c r="AN37" i="5"/>
  <c r="AN57" i="5"/>
  <c r="AN69" i="5"/>
  <c r="AN85" i="5"/>
  <c r="AN97" i="5"/>
  <c r="AN113" i="5"/>
  <c r="AN125" i="5"/>
  <c r="AN141" i="5"/>
  <c r="AN157" i="5"/>
  <c r="AN185" i="5"/>
  <c r="AN225" i="5"/>
  <c r="AN41" i="5"/>
  <c r="AN53" i="5"/>
  <c r="AN73" i="5"/>
  <c r="AN89" i="5"/>
  <c r="AN109" i="5"/>
  <c r="AN129" i="5"/>
  <c r="AN145" i="5"/>
  <c r="AN161" i="5"/>
  <c r="AN177" i="5"/>
  <c r="AN213" i="5"/>
  <c r="AN26" i="5"/>
  <c r="AG2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6" i="5"/>
  <c r="Y27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6" i="5"/>
  <c r="H26" i="5" l="1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AG25" i="5" l="1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AG28" i="5" l="1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A5" i="5"/>
  <c r="AA9" i="5"/>
  <c r="AF25" i="5" s="1"/>
  <c r="AG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Y25" i="5"/>
  <c r="S9" i="5"/>
  <c r="S5" i="5"/>
  <c r="Q27" i="5"/>
  <c r="Q25" i="5"/>
  <c r="J9" i="5"/>
  <c r="J5" i="5"/>
  <c r="A9" i="5"/>
  <c r="A5" i="5"/>
  <c r="P25" i="1"/>
  <c r="F25" i="5" l="1"/>
  <c r="G25" i="5" s="1"/>
  <c r="X81" i="5"/>
  <c r="X89" i="5"/>
  <c r="X97" i="5"/>
  <c r="X105" i="5"/>
  <c r="X113" i="5"/>
  <c r="X121" i="5"/>
  <c r="X129" i="5"/>
  <c r="X137" i="5"/>
  <c r="X145" i="5"/>
  <c r="X153" i="5"/>
  <c r="X161" i="5"/>
  <c r="X169" i="5"/>
  <c r="X177" i="5"/>
  <c r="X185" i="5"/>
  <c r="X193" i="5"/>
  <c r="X201" i="5"/>
  <c r="X209" i="5"/>
  <c r="X217" i="5"/>
  <c r="X225" i="5"/>
  <c r="X85" i="5"/>
  <c r="X125" i="5"/>
  <c r="X157" i="5"/>
  <c r="X181" i="5"/>
  <c r="X205" i="5"/>
  <c r="X110" i="5"/>
  <c r="X166" i="5"/>
  <c r="X206" i="5"/>
  <c r="X82" i="5"/>
  <c r="X90" i="5"/>
  <c r="X98" i="5"/>
  <c r="X106" i="5"/>
  <c r="X114" i="5"/>
  <c r="X122" i="5"/>
  <c r="X130" i="5"/>
  <c r="X138" i="5"/>
  <c r="X146" i="5"/>
  <c r="X154" i="5"/>
  <c r="X162" i="5"/>
  <c r="X170" i="5"/>
  <c r="X178" i="5"/>
  <c r="X186" i="5"/>
  <c r="X194" i="5"/>
  <c r="X202" i="5"/>
  <c r="X210" i="5"/>
  <c r="X218" i="5"/>
  <c r="X77" i="5"/>
  <c r="X109" i="5"/>
  <c r="X149" i="5"/>
  <c r="X189" i="5"/>
  <c r="X94" i="5"/>
  <c r="X142" i="5"/>
  <c r="X214" i="5"/>
  <c r="X83" i="5"/>
  <c r="X91" i="5"/>
  <c r="X99" i="5"/>
  <c r="X107" i="5"/>
  <c r="X115" i="5"/>
  <c r="X123" i="5"/>
  <c r="X131" i="5"/>
  <c r="X139" i="5"/>
  <c r="X147" i="5"/>
  <c r="X155" i="5"/>
  <c r="X163" i="5"/>
  <c r="X171" i="5"/>
  <c r="X179" i="5"/>
  <c r="X187" i="5"/>
  <c r="X195" i="5"/>
  <c r="X203" i="5"/>
  <c r="X211" i="5"/>
  <c r="X219" i="5"/>
  <c r="X93" i="5"/>
  <c r="X117" i="5"/>
  <c r="X141" i="5"/>
  <c r="X165" i="5"/>
  <c r="X197" i="5"/>
  <c r="X221" i="5"/>
  <c r="X78" i="5"/>
  <c r="X118" i="5"/>
  <c r="X134" i="5"/>
  <c r="X174" i="5"/>
  <c r="X190" i="5"/>
  <c r="X222" i="5"/>
  <c r="X84" i="5"/>
  <c r="X92" i="5"/>
  <c r="X100" i="5"/>
  <c r="X108" i="5"/>
  <c r="X116" i="5"/>
  <c r="X124" i="5"/>
  <c r="X132" i="5"/>
  <c r="X140" i="5"/>
  <c r="X148" i="5"/>
  <c r="X156" i="5"/>
  <c r="X164" i="5"/>
  <c r="X172" i="5"/>
  <c r="X180" i="5"/>
  <c r="X188" i="5"/>
  <c r="X196" i="5"/>
  <c r="X204" i="5"/>
  <c r="X212" i="5"/>
  <c r="X220" i="5"/>
  <c r="X26" i="5"/>
  <c r="X101" i="5"/>
  <c r="X133" i="5"/>
  <c r="X173" i="5"/>
  <c r="X213" i="5"/>
  <c r="X86" i="5"/>
  <c r="X150" i="5"/>
  <c r="X79" i="5"/>
  <c r="X87" i="5"/>
  <c r="X95" i="5"/>
  <c r="X103" i="5"/>
  <c r="X111" i="5"/>
  <c r="X119" i="5"/>
  <c r="X127" i="5"/>
  <c r="X135" i="5"/>
  <c r="X143" i="5"/>
  <c r="X151" i="5"/>
  <c r="X159" i="5"/>
  <c r="X167" i="5"/>
  <c r="X175" i="5"/>
  <c r="X183" i="5"/>
  <c r="X191" i="5"/>
  <c r="X199" i="5"/>
  <c r="X207" i="5"/>
  <c r="X215" i="5"/>
  <c r="X223" i="5"/>
  <c r="X80" i="5"/>
  <c r="X88" i="5"/>
  <c r="X96" i="5"/>
  <c r="X104" i="5"/>
  <c r="X112" i="5"/>
  <c r="X120" i="5"/>
  <c r="X128" i="5"/>
  <c r="X136" i="5"/>
  <c r="X144" i="5"/>
  <c r="X152" i="5"/>
  <c r="X160" i="5"/>
  <c r="X168" i="5"/>
  <c r="X176" i="5"/>
  <c r="X184" i="5"/>
  <c r="X192" i="5"/>
  <c r="X200" i="5"/>
  <c r="X208" i="5"/>
  <c r="X216" i="5"/>
  <c r="X224" i="5"/>
  <c r="X102" i="5"/>
  <c r="X126" i="5"/>
  <c r="X158" i="5"/>
  <c r="X182" i="5"/>
  <c r="X198" i="5"/>
  <c r="O26" i="5"/>
  <c r="AF84" i="5"/>
  <c r="AF92" i="5"/>
  <c r="AF100" i="5"/>
  <c r="AF108" i="5"/>
  <c r="AF116" i="5"/>
  <c r="AF124" i="5"/>
  <c r="AF132" i="5"/>
  <c r="AF140" i="5"/>
  <c r="AF148" i="5"/>
  <c r="AF156" i="5"/>
  <c r="AF164" i="5"/>
  <c r="AF172" i="5"/>
  <c r="AF180" i="5"/>
  <c r="AF188" i="5"/>
  <c r="AF196" i="5"/>
  <c r="AF204" i="5"/>
  <c r="AF212" i="5"/>
  <c r="AF220" i="5"/>
  <c r="AF214" i="5"/>
  <c r="AF130" i="5"/>
  <c r="AF186" i="5"/>
  <c r="AF107" i="5"/>
  <c r="AF155" i="5"/>
  <c r="AF179" i="5"/>
  <c r="AF211" i="5"/>
  <c r="AF77" i="5"/>
  <c r="AF85" i="5"/>
  <c r="AF93" i="5"/>
  <c r="AF101" i="5"/>
  <c r="AF109" i="5"/>
  <c r="AF117" i="5"/>
  <c r="AF125" i="5"/>
  <c r="AF133" i="5"/>
  <c r="AF141" i="5"/>
  <c r="AF149" i="5"/>
  <c r="AF157" i="5"/>
  <c r="AF165" i="5"/>
  <c r="AF173" i="5"/>
  <c r="AF181" i="5"/>
  <c r="AF189" i="5"/>
  <c r="AF197" i="5"/>
  <c r="AF205" i="5"/>
  <c r="AF213" i="5"/>
  <c r="AF221" i="5"/>
  <c r="AF222" i="5"/>
  <c r="AF170" i="5"/>
  <c r="AF115" i="5"/>
  <c r="AF195" i="5"/>
  <c r="AF26" i="5"/>
  <c r="AF78" i="5"/>
  <c r="AF86" i="5"/>
  <c r="AF94" i="5"/>
  <c r="AF102" i="5"/>
  <c r="AF110" i="5"/>
  <c r="AF118" i="5"/>
  <c r="AF126" i="5"/>
  <c r="AF134" i="5"/>
  <c r="AF142" i="5"/>
  <c r="AF150" i="5"/>
  <c r="AF158" i="5"/>
  <c r="AF166" i="5"/>
  <c r="AF174" i="5"/>
  <c r="AF182" i="5"/>
  <c r="AF190" i="5"/>
  <c r="AF198" i="5"/>
  <c r="AF206" i="5"/>
  <c r="AF202" i="5"/>
  <c r="AF147" i="5"/>
  <c r="AF27" i="5"/>
  <c r="AF79" i="5"/>
  <c r="AF87" i="5"/>
  <c r="AF95" i="5"/>
  <c r="AF103" i="5"/>
  <c r="AF111" i="5"/>
  <c r="AF119" i="5"/>
  <c r="AF127" i="5"/>
  <c r="AF135" i="5"/>
  <c r="AF143" i="5"/>
  <c r="AF151" i="5"/>
  <c r="AF159" i="5"/>
  <c r="AF167" i="5"/>
  <c r="AF175" i="5"/>
  <c r="AF183" i="5"/>
  <c r="AF191" i="5"/>
  <c r="AF199" i="5"/>
  <c r="AF207" i="5"/>
  <c r="AF215" i="5"/>
  <c r="AF223" i="5"/>
  <c r="AF216" i="5"/>
  <c r="AF98" i="5"/>
  <c r="AF114" i="5"/>
  <c r="AF146" i="5"/>
  <c r="AF162" i="5"/>
  <c r="AF210" i="5"/>
  <c r="AF99" i="5"/>
  <c r="AF139" i="5"/>
  <c r="AF171" i="5"/>
  <c r="AF203" i="5"/>
  <c r="AF80" i="5"/>
  <c r="AF88" i="5"/>
  <c r="AF96" i="5"/>
  <c r="AF104" i="5"/>
  <c r="AF112" i="5"/>
  <c r="AF120" i="5"/>
  <c r="AF128" i="5"/>
  <c r="AF136" i="5"/>
  <c r="AF144" i="5"/>
  <c r="AF152" i="5"/>
  <c r="AF160" i="5"/>
  <c r="AF168" i="5"/>
  <c r="AF176" i="5"/>
  <c r="AF184" i="5"/>
  <c r="AF192" i="5"/>
  <c r="AF200" i="5"/>
  <c r="AF208" i="5"/>
  <c r="AF224" i="5"/>
  <c r="AF82" i="5"/>
  <c r="AF122" i="5"/>
  <c r="AF154" i="5"/>
  <c r="AF194" i="5"/>
  <c r="AF91" i="5"/>
  <c r="AF131" i="5"/>
  <c r="AF187" i="5"/>
  <c r="AF81" i="5"/>
  <c r="AF89" i="5"/>
  <c r="AF97" i="5"/>
  <c r="AF105" i="5"/>
  <c r="AF113" i="5"/>
  <c r="AF121" i="5"/>
  <c r="AF129" i="5"/>
  <c r="AF137" i="5"/>
  <c r="AF145" i="5"/>
  <c r="AF153" i="5"/>
  <c r="AF161" i="5"/>
  <c r="AF169" i="5"/>
  <c r="AF177" i="5"/>
  <c r="AF185" i="5"/>
  <c r="AF193" i="5"/>
  <c r="AF201" i="5"/>
  <c r="AF209" i="5"/>
  <c r="AF217" i="5"/>
  <c r="AF225" i="5"/>
  <c r="AF90" i="5"/>
  <c r="AF106" i="5"/>
  <c r="AF138" i="5"/>
  <c r="AF178" i="5"/>
  <c r="AF218" i="5"/>
  <c r="AF83" i="5"/>
  <c r="AF123" i="5"/>
  <c r="AF163" i="5"/>
  <c r="AF219" i="5"/>
  <c r="O25" i="5"/>
  <c r="O191" i="5"/>
  <c r="O96" i="5"/>
  <c r="O112" i="5"/>
  <c r="O128" i="5"/>
  <c r="O144" i="5"/>
  <c r="O160" i="5"/>
  <c r="O168" i="5"/>
  <c r="O184" i="5"/>
  <c r="O200" i="5"/>
  <c r="O216" i="5"/>
  <c r="O97" i="5"/>
  <c r="O121" i="5"/>
  <c r="O145" i="5"/>
  <c r="O161" i="5"/>
  <c r="O185" i="5"/>
  <c r="O209" i="5"/>
  <c r="O88" i="5"/>
  <c r="O201" i="5"/>
  <c r="O81" i="5"/>
  <c r="O105" i="5"/>
  <c r="O137" i="5"/>
  <c r="O169" i="5"/>
  <c r="O193" i="5"/>
  <c r="O225" i="5"/>
  <c r="O82" i="5"/>
  <c r="O90" i="5"/>
  <c r="O98" i="5"/>
  <c r="O106" i="5"/>
  <c r="O114" i="5"/>
  <c r="O122" i="5"/>
  <c r="O130" i="5"/>
  <c r="O138" i="5"/>
  <c r="O146" i="5"/>
  <c r="O154" i="5"/>
  <c r="O162" i="5"/>
  <c r="O170" i="5"/>
  <c r="O178" i="5"/>
  <c r="O186" i="5"/>
  <c r="O194" i="5"/>
  <c r="O202" i="5"/>
  <c r="O210" i="5"/>
  <c r="O218" i="5"/>
  <c r="O83" i="5"/>
  <c r="O99" i="5"/>
  <c r="O107" i="5"/>
  <c r="O115" i="5"/>
  <c r="O123" i="5"/>
  <c r="O131" i="5"/>
  <c r="O139" i="5"/>
  <c r="O147" i="5"/>
  <c r="O155" i="5"/>
  <c r="O163" i="5"/>
  <c r="O171" i="5"/>
  <c r="O179" i="5"/>
  <c r="O187" i="5"/>
  <c r="O195" i="5"/>
  <c r="O211" i="5"/>
  <c r="O219" i="5"/>
  <c r="O92" i="5"/>
  <c r="O108" i="5"/>
  <c r="O124" i="5"/>
  <c r="O140" i="5"/>
  <c r="O156" i="5"/>
  <c r="O172" i="5"/>
  <c r="O188" i="5"/>
  <c r="O204" i="5"/>
  <c r="O220" i="5"/>
  <c r="O85" i="5"/>
  <c r="O101" i="5"/>
  <c r="O125" i="5"/>
  <c r="O133" i="5"/>
  <c r="O157" i="5"/>
  <c r="O173" i="5"/>
  <c r="O197" i="5"/>
  <c r="O221" i="5"/>
  <c r="O91" i="5"/>
  <c r="O203" i="5"/>
  <c r="O100" i="5"/>
  <c r="O116" i="5"/>
  <c r="O132" i="5"/>
  <c r="O148" i="5"/>
  <c r="O164" i="5"/>
  <c r="O180" i="5"/>
  <c r="O196" i="5"/>
  <c r="O212" i="5"/>
  <c r="O93" i="5"/>
  <c r="O117" i="5"/>
  <c r="O141" i="5"/>
  <c r="O165" i="5"/>
  <c r="O205" i="5"/>
  <c r="O84" i="5"/>
  <c r="O181" i="5"/>
  <c r="O213" i="5"/>
  <c r="O77" i="5"/>
  <c r="O109" i="5"/>
  <c r="O149" i="5"/>
  <c r="O189" i="5"/>
  <c r="O78" i="5"/>
  <c r="O86" i="5"/>
  <c r="O94" i="5"/>
  <c r="O102" i="5"/>
  <c r="O110" i="5"/>
  <c r="O118" i="5"/>
  <c r="O126" i="5"/>
  <c r="O134" i="5"/>
  <c r="O142" i="5"/>
  <c r="O150" i="5"/>
  <c r="O158" i="5"/>
  <c r="O166" i="5"/>
  <c r="O174" i="5"/>
  <c r="O182" i="5"/>
  <c r="O190" i="5"/>
  <c r="O198" i="5"/>
  <c r="O206" i="5"/>
  <c r="O214" i="5"/>
  <c r="O222" i="5"/>
  <c r="O79" i="5"/>
  <c r="O87" i="5"/>
  <c r="O95" i="5"/>
  <c r="O103" i="5"/>
  <c r="O111" i="5"/>
  <c r="O119" i="5"/>
  <c r="O127" i="5"/>
  <c r="O135" i="5"/>
  <c r="O143" i="5"/>
  <c r="O151" i="5"/>
  <c r="O159" i="5"/>
  <c r="O167" i="5"/>
  <c r="O175" i="5"/>
  <c r="O183" i="5"/>
  <c r="O199" i="5"/>
  <c r="O207" i="5"/>
  <c r="O215" i="5"/>
  <c r="O223" i="5"/>
  <c r="O80" i="5"/>
  <c r="O104" i="5"/>
  <c r="O120" i="5"/>
  <c r="O136" i="5"/>
  <c r="O152" i="5"/>
  <c r="O176" i="5"/>
  <c r="O192" i="5"/>
  <c r="O208" i="5"/>
  <c r="O224" i="5"/>
  <c r="O89" i="5"/>
  <c r="O113" i="5"/>
  <c r="O129" i="5"/>
  <c r="O153" i="5"/>
  <c r="O177" i="5"/>
  <c r="O217" i="5"/>
  <c r="F83" i="5"/>
  <c r="G83" i="5" s="1"/>
  <c r="F91" i="5"/>
  <c r="G91" i="5" s="1"/>
  <c r="F99" i="5"/>
  <c r="G99" i="5" s="1"/>
  <c r="F107" i="5"/>
  <c r="G107" i="5" s="1"/>
  <c r="F115" i="5"/>
  <c r="G115" i="5" s="1"/>
  <c r="F123" i="5"/>
  <c r="G123" i="5" s="1"/>
  <c r="F131" i="5"/>
  <c r="G131" i="5" s="1"/>
  <c r="F139" i="5"/>
  <c r="G139" i="5" s="1"/>
  <c r="F147" i="5"/>
  <c r="G147" i="5" s="1"/>
  <c r="F155" i="5"/>
  <c r="G155" i="5" s="1"/>
  <c r="F163" i="5"/>
  <c r="G163" i="5" s="1"/>
  <c r="F171" i="5"/>
  <c r="G171" i="5" s="1"/>
  <c r="F179" i="5"/>
  <c r="G179" i="5" s="1"/>
  <c r="F187" i="5"/>
  <c r="G187" i="5" s="1"/>
  <c r="F195" i="5"/>
  <c r="G195" i="5" s="1"/>
  <c r="F203" i="5"/>
  <c r="G203" i="5" s="1"/>
  <c r="F211" i="5"/>
  <c r="G211" i="5" s="1"/>
  <c r="F219" i="5"/>
  <c r="G219" i="5" s="1"/>
  <c r="F28" i="5"/>
  <c r="G28" i="5" s="1"/>
  <c r="F36" i="5"/>
  <c r="G36" i="5" s="1"/>
  <c r="F44" i="5"/>
  <c r="G44" i="5" s="1"/>
  <c r="F52" i="5"/>
  <c r="G52" i="5" s="1"/>
  <c r="F60" i="5"/>
  <c r="G60" i="5" s="1"/>
  <c r="F68" i="5"/>
  <c r="G68" i="5" s="1"/>
  <c r="F76" i="5"/>
  <c r="G76" i="5" s="1"/>
  <c r="F85" i="5"/>
  <c r="G85" i="5" s="1"/>
  <c r="F125" i="5"/>
  <c r="G125" i="5" s="1"/>
  <c r="F141" i="5"/>
  <c r="G141" i="5" s="1"/>
  <c r="F165" i="5"/>
  <c r="G165" i="5" s="1"/>
  <c r="F181" i="5"/>
  <c r="G181" i="5" s="1"/>
  <c r="F205" i="5"/>
  <c r="G205" i="5" s="1"/>
  <c r="F30" i="5"/>
  <c r="G30" i="5" s="1"/>
  <c r="F54" i="5"/>
  <c r="G54" i="5" s="1"/>
  <c r="F70" i="5"/>
  <c r="G70" i="5" s="1"/>
  <c r="F84" i="5"/>
  <c r="G84" i="5" s="1"/>
  <c r="F92" i="5"/>
  <c r="G92" i="5" s="1"/>
  <c r="F100" i="5"/>
  <c r="G100" i="5" s="1"/>
  <c r="F108" i="5"/>
  <c r="G108" i="5" s="1"/>
  <c r="F116" i="5"/>
  <c r="G116" i="5" s="1"/>
  <c r="F124" i="5"/>
  <c r="G124" i="5" s="1"/>
  <c r="F132" i="5"/>
  <c r="G132" i="5" s="1"/>
  <c r="F140" i="5"/>
  <c r="G140" i="5" s="1"/>
  <c r="F148" i="5"/>
  <c r="G148" i="5" s="1"/>
  <c r="F156" i="5"/>
  <c r="G156" i="5" s="1"/>
  <c r="F164" i="5"/>
  <c r="G164" i="5" s="1"/>
  <c r="F172" i="5"/>
  <c r="G172" i="5" s="1"/>
  <c r="F180" i="5"/>
  <c r="G180" i="5" s="1"/>
  <c r="F188" i="5"/>
  <c r="G188" i="5" s="1"/>
  <c r="F196" i="5"/>
  <c r="G196" i="5" s="1"/>
  <c r="F204" i="5"/>
  <c r="G204" i="5" s="1"/>
  <c r="F212" i="5"/>
  <c r="G212" i="5" s="1"/>
  <c r="F220" i="5"/>
  <c r="G220" i="5" s="1"/>
  <c r="F29" i="5"/>
  <c r="G29" i="5" s="1"/>
  <c r="F37" i="5"/>
  <c r="G37" i="5" s="1"/>
  <c r="F45" i="5"/>
  <c r="G45" i="5" s="1"/>
  <c r="F53" i="5"/>
  <c r="G53" i="5" s="1"/>
  <c r="F61" i="5"/>
  <c r="G61" i="5" s="1"/>
  <c r="F69" i="5"/>
  <c r="G69" i="5" s="1"/>
  <c r="F101" i="5"/>
  <c r="G101" i="5" s="1"/>
  <c r="F157" i="5"/>
  <c r="G157" i="5" s="1"/>
  <c r="F197" i="5"/>
  <c r="G197" i="5" s="1"/>
  <c r="F221" i="5"/>
  <c r="G221" i="5" s="1"/>
  <c r="F46" i="5"/>
  <c r="G46" i="5" s="1"/>
  <c r="F77" i="5"/>
  <c r="G77" i="5" s="1"/>
  <c r="F78" i="5"/>
  <c r="G78" i="5" s="1"/>
  <c r="F86" i="5"/>
  <c r="G86" i="5" s="1"/>
  <c r="F94" i="5"/>
  <c r="G94" i="5" s="1"/>
  <c r="F102" i="5"/>
  <c r="G102" i="5" s="1"/>
  <c r="F110" i="5"/>
  <c r="G110" i="5" s="1"/>
  <c r="F118" i="5"/>
  <c r="G118" i="5" s="1"/>
  <c r="F126" i="5"/>
  <c r="G126" i="5" s="1"/>
  <c r="F134" i="5"/>
  <c r="G134" i="5" s="1"/>
  <c r="F142" i="5"/>
  <c r="G142" i="5" s="1"/>
  <c r="F150" i="5"/>
  <c r="G150" i="5" s="1"/>
  <c r="F158" i="5"/>
  <c r="G158" i="5" s="1"/>
  <c r="F166" i="5"/>
  <c r="G166" i="5" s="1"/>
  <c r="F174" i="5"/>
  <c r="G174" i="5" s="1"/>
  <c r="F182" i="5"/>
  <c r="G182" i="5" s="1"/>
  <c r="F190" i="5"/>
  <c r="G190" i="5" s="1"/>
  <c r="F198" i="5"/>
  <c r="G198" i="5" s="1"/>
  <c r="F206" i="5"/>
  <c r="G206" i="5" s="1"/>
  <c r="F214" i="5"/>
  <c r="G214" i="5" s="1"/>
  <c r="F222" i="5"/>
  <c r="G222" i="5" s="1"/>
  <c r="F31" i="5"/>
  <c r="G31" i="5" s="1"/>
  <c r="F39" i="5"/>
  <c r="G39" i="5" s="1"/>
  <c r="F47" i="5"/>
  <c r="G47" i="5" s="1"/>
  <c r="F55" i="5"/>
  <c r="G55" i="5" s="1"/>
  <c r="F63" i="5"/>
  <c r="G63" i="5" s="1"/>
  <c r="F71" i="5"/>
  <c r="G71" i="5" s="1"/>
  <c r="F129" i="5"/>
  <c r="G129" i="5" s="1"/>
  <c r="F169" i="5"/>
  <c r="G169" i="5" s="1"/>
  <c r="F201" i="5"/>
  <c r="G201" i="5" s="1"/>
  <c r="F217" i="5"/>
  <c r="G217" i="5" s="1"/>
  <c r="F42" i="5"/>
  <c r="G42" i="5" s="1"/>
  <c r="F66" i="5"/>
  <c r="G66" i="5" s="1"/>
  <c r="F26" i="5"/>
  <c r="G26" i="5" s="1"/>
  <c r="F79" i="5"/>
  <c r="G79" i="5" s="1"/>
  <c r="F87" i="5"/>
  <c r="G87" i="5" s="1"/>
  <c r="F95" i="5"/>
  <c r="G95" i="5" s="1"/>
  <c r="F103" i="5"/>
  <c r="G103" i="5" s="1"/>
  <c r="F111" i="5"/>
  <c r="G111" i="5" s="1"/>
  <c r="F119" i="5"/>
  <c r="G119" i="5" s="1"/>
  <c r="F127" i="5"/>
  <c r="G127" i="5" s="1"/>
  <c r="F135" i="5"/>
  <c r="G135" i="5" s="1"/>
  <c r="F143" i="5"/>
  <c r="G143" i="5" s="1"/>
  <c r="F151" i="5"/>
  <c r="G151" i="5" s="1"/>
  <c r="F159" i="5"/>
  <c r="G159" i="5" s="1"/>
  <c r="F167" i="5"/>
  <c r="G167" i="5" s="1"/>
  <c r="F175" i="5"/>
  <c r="G175" i="5" s="1"/>
  <c r="F183" i="5"/>
  <c r="G183" i="5" s="1"/>
  <c r="F191" i="5"/>
  <c r="G191" i="5" s="1"/>
  <c r="F199" i="5"/>
  <c r="G199" i="5" s="1"/>
  <c r="F207" i="5"/>
  <c r="G207" i="5" s="1"/>
  <c r="F215" i="5"/>
  <c r="G215" i="5" s="1"/>
  <c r="F223" i="5"/>
  <c r="G223" i="5" s="1"/>
  <c r="F32" i="5"/>
  <c r="G32" i="5" s="1"/>
  <c r="F40" i="5"/>
  <c r="G40" i="5" s="1"/>
  <c r="F48" i="5"/>
  <c r="G48" i="5" s="1"/>
  <c r="F56" i="5"/>
  <c r="G56" i="5" s="1"/>
  <c r="F64" i="5"/>
  <c r="G64" i="5" s="1"/>
  <c r="F72" i="5"/>
  <c r="G72" i="5" s="1"/>
  <c r="F89" i="5"/>
  <c r="G89" i="5" s="1"/>
  <c r="F105" i="5"/>
  <c r="G105" i="5" s="1"/>
  <c r="F121" i="5"/>
  <c r="G121" i="5" s="1"/>
  <c r="F145" i="5"/>
  <c r="G145" i="5" s="1"/>
  <c r="F161" i="5"/>
  <c r="G161" i="5" s="1"/>
  <c r="F185" i="5"/>
  <c r="G185" i="5" s="1"/>
  <c r="F209" i="5"/>
  <c r="G209" i="5" s="1"/>
  <c r="F34" i="5"/>
  <c r="G34" i="5" s="1"/>
  <c r="F58" i="5"/>
  <c r="G58" i="5" s="1"/>
  <c r="F80" i="5"/>
  <c r="G80" i="5" s="1"/>
  <c r="F88" i="5"/>
  <c r="G88" i="5" s="1"/>
  <c r="F96" i="5"/>
  <c r="G96" i="5" s="1"/>
  <c r="F104" i="5"/>
  <c r="G104" i="5" s="1"/>
  <c r="F112" i="5"/>
  <c r="G112" i="5" s="1"/>
  <c r="F120" i="5"/>
  <c r="G120" i="5" s="1"/>
  <c r="F128" i="5"/>
  <c r="G128" i="5" s="1"/>
  <c r="F136" i="5"/>
  <c r="G136" i="5" s="1"/>
  <c r="F144" i="5"/>
  <c r="G144" i="5" s="1"/>
  <c r="F152" i="5"/>
  <c r="G152" i="5" s="1"/>
  <c r="F160" i="5"/>
  <c r="G160" i="5" s="1"/>
  <c r="F168" i="5"/>
  <c r="G168" i="5" s="1"/>
  <c r="F176" i="5"/>
  <c r="G176" i="5" s="1"/>
  <c r="F184" i="5"/>
  <c r="G184" i="5" s="1"/>
  <c r="F192" i="5"/>
  <c r="G192" i="5" s="1"/>
  <c r="F200" i="5"/>
  <c r="G200" i="5" s="1"/>
  <c r="F208" i="5"/>
  <c r="G208" i="5" s="1"/>
  <c r="F216" i="5"/>
  <c r="G216" i="5" s="1"/>
  <c r="F224" i="5"/>
  <c r="G224" i="5" s="1"/>
  <c r="F33" i="5"/>
  <c r="G33" i="5" s="1"/>
  <c r="F41" i="5"/>
  <c r="G41" i="5" s="1"/>
  <c r="F49" i="5"/>
  <c r="G49" i="5" s="1"/>
  <c r="F57" i="5"/>
  <c r="G57" i="5" s="1"/>
  <c r="F65" i="5"/>
  <c r="G65" i="5" s="1"/>
  <c r="F73" i="5"/>
  <c r="G73" i="5" s="1"/>
  <c r="F97" i="5"/>
  <c r="G97" i="5" s="1"/>
  <c r="F113" i="5"/>
  <c r="G113" i="5" s="1"/>
  <c r="F137" i="5"/>
  <c r="G137" i="5" s="1"/>
  <c r="F153" i="5"/>
  <c r="G153" i="5" s="1"/>
  <c r="F177" i="5"/>
  <c r="G177" i="5" s="1"/>
  <c r="F193" i="5"/>
  <c r="G193" i="5" s="1"/>
  <c r="F225" i="5"/>
  <c r="G225" i="5" s="1"/>
  <c r="F50" i="5"/>
  <c r="G50" i="5" s="1"/>
  <c r="F81" i="5"/>
  <c r="G81" i="5" s="1"/>
  <c r="F82" i="5"/>
  <c r="G82" i="5" s="1"/>
  <c r="F90" i="5"/>
  <c r="G90" i="5" s="1"/>
  <c r="F98" i="5"/>
  <c r="G98" i="5" s="1"/>
  <c r="F106" i="5"/>
  <c r="G106" i="5" s="1"/>
  <c r="F114" i="5"/>
  <c r="G114" i="5" s="1"/>
  <c r="F122" i="5"/>
  <c r="G122" i="5" s="1"/>
  <c r="F130" i="5"/>
  <c r="G130" i="5" s="1"/>
  <c r="F138" i="5"/>
  <c r="G138" i="5" s="1"/>
  <c r="F146" i="5"/>
  <c r="G146" i="5" s="1"/>
  <c r="F154" i="5"/>
  <c r="G154" i="5" s="1"/>
  <c r="F162" i="5"/>
  <c r="G162" i="5" s="1"/>
  <c r="F170" i="5"/>
  <c r="G170" i="5" s="1"/>
  <c r="F178" i="5"/>
  <c r="G178" i="5" s="1"/>
  <c r="F186" i="5"/>
  <c r="G186" i="5" s="1"/>
  <c r="F194" i="5"/>
  <c r="G194" i="5" s="1"/>
  <c r="F202" i="5"/>
  <c r="G202" i="5" s="1"/>
  <c r="F210" i="5"/>
  <c r="G210" i="5" s="1"/>
  <c r="F218" i="5"/>
  <c r="G218" i="5" s="1"/>
  <c r="F27" i="5"/>
  <c r="G27" i="5" s="1"/>
  <c r="F35" i="5"/>
  <c r="G35" i="5" s="1"/>
  <c r="F43" i="5"/>
  <c r="G43" i="5" s="1"/>
  <c r="F51" i="5"/>
  <c r="G51" i="5" s="1"/>
  <c r="F59" i="5"/>
  <c r="G59" i="5" s="1"/>
  <c r="F67" i="5"/>
  <c r="G67" i="5" s="1"/>
  <c r="F75" i="5"/>
  <c r="G75" i="5" s="1"/>
  <c r="F93" i="5"/>
  <c r="G93" i="5" s="1"/>
  <c r="F109" i="5"/>
  <c r="G109" i="5" s="1"/>
  <c r="F117" i="5"/>
  <c r="G117" i="5" s="1"/>
  <c r="F133" i="5"/>
  <c r="G133" i="5" s="1"/>
  <c r="F149" i="5"/>
  <c r="G149" i="5" s="1"/>
  <c r="F173" i="5"/>
  <c r="G173" i="5" s="1"/>
  <c r="F189" i="5"/>
  <c r="G189" i="5" s="1"/>
  <c r="F213" i="5"/>
  <c r="G213" i="5" s="1"/>
  <c r="F38" i="5"/>
  <c r="G38" i="5" s="1"/>
  <c r="F62" i="5"/>
  <c r="G62" i="5" s="1"/>
  <c r="F74" i="5"/>
  <c r="G74" i="5" s="1"/>
  <c r="AF75" i="5"/>
  <c r="AF74" i="5"/>
  <c r="AF76" i="5"/>
  <c r="AF29" i="5"/>
  <c r="AF31" i="5"/>
  <c r="AF33" i="5"/>
  <c r="AF36" i="5"/>
  <c r="AF28" i="5"/>
  <c r="AF30" i="5"/>
  <c r="AF32" i="5"/>
  <c r="AF34" i="5"/>
  <c r="AF35" i="5"/>
  <c r="AF37" i="5"/>
  <c r="AF53" i="5"/>
  <c r="AF46" i="5"/>
  <c r="AF51" i="5"/>
  <c r="AF44" i="5"/>
  <c r="AF56" i="5"/>
  <c r="AF49" i="5"/>
  <c r="AF38" i="5"/>
  <c r="AF40" i="5"/>
  <c r="AF42" i="5"/>
  <c r="AF54" i="5"/>
  <c r="AF47" i="5"/>
  <c r="AF52" i="5"/>
  <c r="AF45" i="5"/>
  <c r="AF50" i="5"/>
  <c r="AF43" i="5"/>
  <c r="AF55" i="5"/>
  <c r="AF48" i="5"/>
  <c r="AF67" i="5"/>
  <c r="AF41" i="5"/>
  <c r="AF60" i="5"/>
  <c r="AF72" i="5"/>
  <c r="AF65" i="5"/>
  <c r="AF58" i="5"/>
  <c r="AF70" i="5"/>
  <c r="AF63" i="5"/>
  <c r="AF68" i="5"/>
  <c r="AF61" i="5"/>
  <c r="AF73" i="5"/>
  <c r="AF66" i="5"/>
  <c r="AF39" i="5"/>
  <c r="AF57" i="5"/>
  <c r="AF59" i="5"/>
  <c r="AF71" i="5"/>
  <c r="AF64" i="5"/>
  <c r="AF69" i="5"/>
  <c r="AF62" i="5"/>
  <c r="X70" i="5"/>
  <c r="X35" i="5"/>
  <c r="X37" i="5"/>
  <c r="X29" i="5"/>
  <c r="X31" i="5"/>
  <c r="X33" i="5"/>
  <c r="X36" i="5"/>
  <c r="X28" i="5"/>
  <c r="X30" i="5"/>
  <c r="X32" i="5"/>
  <c r="X34" i="5"/>
  <c r="X49" i="5"/>
  <c r="X38" i="5"/>
  <c r="X40" i="5"/>
  <c r="X42" i="5"/>
  <c r="X54" i="5"/>
  <c r="X47" i="5"/>
  <c r="X52" i="5"/>
  <c r="X45" i="5"/>
  <c r="X57" i="5"/>
  <c r="X50" i="5"/>
  <c r="X43" i="5"/>
  <c r="X55" i="5"/>
  <c r="X39" i="5"/>
  <c r="X41" i="5"/>
  <c r="X48" i="5"/>
  <c r="X53" i="5"/>
  <c r="X46" i="5"/>
  <c r="X51" i="5"/>
  <c r="X63" i="5"/>
  <c r="X75" i="5"/>
  <c r="X68" i="5"/>
  <c r="X61" i="5"/>
  <c r="X73" i="5"/>
  <c r="X66" i="5"/>
  <c r="X44" i="5"/>
  <c r="X59" i="5"/>
  <c r="X71" i="5"/>
  <c r="X64" i="5"/>
  <c r="X76" i="5"/>
  <c r="X69" i="5"/>
  <c r="X62" i="5"/>
  <c r="X74" i="5"/>
  <c r="X67" i="5"/>
  <c r="X56" i="5"/>
  <c r="X60" i="5"/>
  <c r="X72" i="5"/>
  <c r="X65" i="5"/>
  <c r="X58" i="5"/>
  <c r="O76" i="5"/>
  <c r="O65" i="5"/>
  <c r="O75" i="5"/>
  <c r="O73" i="5"/>
  <c r="O57" i="5"/>
  <c r="O36" i="5"/>
  <c r="O28" i="5"/>
  <c r="O30" i="5"/>
  <c r="O32" i="5"/>
  <c r="O34" i="5"/>
  <c r="O35" i="5"/>
  <c r="O37" i="5"/>
  <c r="O29" i="5"/>
  <c r="O31" i="5"/>
  <c r="O33" i="5"/>
  <c r="O44" i="5"/>
  <c r="O49" i="5"/>
  <c r="O38" i="5"/>
  <c r="O40" i="5"/>
  <c r="O42" i="5"/>
  <c r="O47" i="5"/>
  <c r="O45" i="5"/>
  <c r="O50" i="5"/>
  <c r="O43" i="5"/>
  <c r="O55" i="5"/>
  <c r="O39" i="5"/>
  <c r="O41" i="5"/>
  <c r="O48" i="5"/>
  <c r="O53" i="5"/>
  <c r="O46" i="5"/>
  <c r="O58" i="5"/>
  <c r="O70" i="5"/>
  <c r="O63" i="5"/>
  <c r="O56" i="5"/>
  <c r="O68" i="5"/>
  <c r="O61" i="5"/>
  <c r="O54" i="5"/>
  <c r="O66" i="5"/>
  <c r="O59" i="5"/>
  <c r="O71" i="5"/>
  <c r="O69" i="5"/>
  <c r="O62" i="5"/>
  <c r="O52" i="5"/>
  <c r="O67" i="5"/>
  <c r="O51" i="5"/>
  <c r="O60" i="5"/>
  <c r="O72" i="5"/>
  <c r="O64" i="5"/>
  <c r="O74" i="5"/>
  <c r="X25" i="5"/>
  <c r="X27" i="5"/>
  <c r="O27" i="5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30" i="1"/>
  <c r="F18" i="1"/>
  <c r="F17" i="1"/>
  <c r="F21" i="1" l="1"/>
  <c r="H21" i="1" s="1"/>
  <c r="H33" i="1"/>
  <c r="G126" i="1"/>
  <c r="G46" i="1"/>
  <c r="G110" i="1"/>
  <c r="G94" i="1"/>
  <c r="G78" i="1"/>
  <c r="G62" i="1"/>
  <c r="G125" i="1"/>
  <c r="G109" i="1"/>
  <c r="G93" i="1"/>
  <c r="G77" i="1"/>
  <c r="G61" i="1"/>
  <c r="G45" i="1"/>
  <c r="G122" i="1"/>
  <c r="G106" i="1"/>
  <c r="G90" i="1"/>
  <c r="G74" i="1"/>
  <c r="G58" i="1"/>
  <c r="G42" i="1"/>
  <c r="G121" i="1"/>
  <c r="G105" i="1"/>
  <c r="G89" i="1"/>
  <c r="G73" i="1"/>
  <c r="G57" i="1"/>
  <c r="G41" i="1"/>
  <c r="G118" i="1"/>
  <c r="G102" i="1"/>
  <c r="G86" i="1"/>
  <c r="G70" i="1"/>
  <c r="G54" i="1"/>
  <c r="G38" i="1"/>
  <c r="G117" i="1"/>
  <c r="G101" i="1"/>
  <c r="G85" i="1"/>
  <c r="G69" i="1"/>
  <c r="G53" i="1"/>
  <c r="G37" i="1"/>
  <c r="G114" i="1"/>
  <c r="G98" i="1"/>
  <c r="G82" i="1"/>
  <c r="G66" i="1"/>
  <c r="G50" i="1"/>
  <c r="G34" i="1"/>
  <c r="G129" i="1"/>
  <c r="G113" i="1"/>
  <c r="G97" i="1"/>
  <c r="G81" i="1"/>
  <c r="G65" i="1"/>
  <c r="G49" i="1"/>
  <c r="G33" i="1"/>
  <c r="H128" i="1"/>
  <c r="H124" i="1"/>
  <c r="H120" i="1"/>
  <c r="H116" i="1"/>
  <c r="H112" i="1"/>
  <c r="H108" i="1"/>
  <c r="H104" i="1"/>
  <c r="H100" i="1"/>
  <c r="H96" i="1"/>
  <c r="H92" i="1"/>
  <c r="H88" i="1"/>
  <c r="H84" i="1"/>
  <c r="H80" i="1"/>
  <c r="H76" i="1"/>
  <c r="H72" i="1"/>
  <c r="H68" i="1"/>
  <c r="H64" i="1"/>
  <c r="H60" i="1"/>
  <c r="H56" i="1"/>
  <c r="H52" i="1"/>
  <c r="H48" i="1"/>
  <c r="H44" i="1"/>
  <c r="H40" i="1"/>
  <c r="H36" i="1"/>
  <c r="H32" i="1"/>
  <c r="G128" i="1"/>
  <c r="G124" i="1"/>
  <c r="G120" i="1"/>
  <c r="G116" i="1"/>
  <c r="G112" i="1"/>
  <c r="G108" i="1"/>
  <c r="G104" i="1"/>
  <c r="G100" i="1"/>
  <c r="G96" i="1"/>
  <c r="G92" i="1"/>
  <c r="G88" i="1"/>
  <c r="G84" i="1"/>
  <c r="G80" i="1"/>
  <c r="G76" i="1"/>
  <c r="G72" i="1"/>
  <c r="G68" i="1"/>
  <c r="G64" i="1"/>
  <c r="G60" i="1"/>
  <c r="G56" i="1"/>
  <c r="G52" i="1"/>
  <c r="G48" i="1"/>
  <c r="G44" i="1"/>
  <c r="G40" i="1"/>
  <c r="G36" i="1"/>
  <c r="G32" i="1"/>
  <c r="G30" i="1"/>
  <c r="H127" i="1"/>
  <c r="H123" i="1"/>
  <c r="H119" i="1"/>
  <c r="H115" i="1"/>
  <c r="H111" i="1"/>
  <c r="H107" i="1"/>
  <c r="H103" i="1"/>
  <c r="H99" i="1"/>
  <c r="H95" i="1"/>
  <c r="H91" i="1"/>
  <c r="H87" i="1"/>
  <c r="H83" i="1"/>
  <c r="H79" i="1"/>
  <c r="H75" i="1"/>
  <c r="H71" i="1"/>
  <c r="H67" i="1"/>
  <c r="H63" i="1"/>
  <c r="H59" i="1"/>
  <c r="H55" i="1"/>
  <c r="H51" i="1"/>
  <c r="H47" i="1"/>
  <c r="H43" i="1"/>
  <c r="H39" i="1"/>
  <c r="H35" i="1"/>
  <c r="H31" i="1"/>
  <c r="H30" i="1"/>
  <c r="G127" i="1"/>
  <c r="G123" i="1"/>
  <c r="G119" i="1"/>
  <c r="G115" i="1"/>
  <c r="G111" i="1"/>
  <c r="G107" i="1"/>
  <c r="G103" i="1"/>
  <c r="G99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H126" i="1"/>
  <c r="H122" i="1"/>
  <c r="H118" i="1"/>
  <c r="H114" i="1"/>
  <c r="H110" i="1"/>
  <c r="H106" i="1"/>
  <c r="H102" i="1"/>
  <c r="H98" i="1"/>
  <c r="H94" i="1"/>
  <c r="H90" i="1"/>
  <c r="H86" i="1"/>
  <c r="H82" i="1"/>
  <c r="H78" i="1"/>
  <c r="H74" i="1"/>
  <c r="H70" i="1"/>
  <c r="H66" i="1"/>
  <c r="H62" i="1"/>
  <c r="H58" i="1"/>
  <c r="H54" i="1"/>
  <c r="H50" i="1"/>
  <c r="H46" i="1"/>
  <c r="H42" i="1"/>
  <c r="H38" i="1"/>
  <c r="I38" i="1" s="1"/>
  <c r="J38" i="1" s="1"/>
  <c r="H34" i="1"/>
  <c r="H129" i="1"/>
  <c r="H125" i="1"/>
  <c r="H121" i="1"/>
  <c r="H117" i="1"/>
  <c r="H113" i="1"/>
  <c r="H109" i="1"/>
  <c r="H105" i="1"/>
  <c r="H101" i="1"/>
  <c r="H97" i="1"/>
  <c r="H93" i="1"/>
  <c r="H89" i="1"/>
  <c r="H85" i="1"/>
  <c r="H81" i="1"/>
  <c r="H77" i="1"/>
  <c r="H73" i="1"/>
  <c r="I73" i="1" s="1"/>
  <c r="J73" i="1" s="1"/>
  <c r="H69" i="1"/>
  <c r="H65" i="1"/>
  <c r="H61" i="1"/>
  <c r="H57" i="1"/>
  <c r="H53" i="1"/>
  <c r="H49" i="1"/>
  <c r="H45" i="1"/>
  <c r="H41" i="1"/>
  <c r="H37" i="1"/>
  <c r="F24" i="1"/>
  <c r="H24" i="1" s="1"/>
  <c r="F23" i="1"/>
  <c r="H23" i="1" s="1"/>
  <c r="F22" i="1"/>
  <c r="H22" i="1" s="1"/>
  <c r="I53" i="1" l="1"/>
  <c r="J53" i="1" s="1"/>
  <c r="I113" i="1"/>
  <c r="J113" i="1" s="1"/>
  <c r="I93" i="1"/>
  <c r="J93" i="1" s="1"/>
  <c r="I41" i="1"/>
  <c r="J41" i="1" s="1"/>
  <c r="I78" i="1"/>
  <c r="J78" i="1" s="1"/>
  <c r="I94" i="1"/>
  <c r="J94" i="1" s="1"/>
  <c r="I126" i="1"/>
  <c r="J126" i="1" s="1"/>
  <c r="I62" i="1"/>
  <c r="J62" i="1" s="1"/>
  <c r="I33" i="1"/>
  <c r="J33" i="1" s="1"/>
  <c r="I85" i="1"/>
  <c r="J85" i="1" s="1"/>
  <c r="I57" i="1"/>
  <c r="J57" i="1" s="1"/>
  <c r="I118" i="1"/>
  <c r="J118" i="1" s="1"/>
  <c r="I117" i="1"/>
  <c r="J117" i="1" s="1"/>
  <c r="I45" i="1"/>
  <c r="J45" i="1" s="1"/>
  <c r="I46" i="1"/>
  <c r="J46" i="1" s="1"/>
  <c r="I90" i="1"/>
  <c r="J90" i="1" s="1"/>
  <c r="I65" i="1"/>
  <c r="J65" i="1" s="1"/>
  <c r="I110" i="1"/>
  <c r="J110" i="1" s="1"/>
  <c r="I50" i="1"/>
  <c r="J50" i="1" s="1"/>
  <c r="I37" i="1"/>
  <c r="J37" i="1" s="1"/>
  <c r="I105" i="1"/>
  <c r="J105" i="1" s="1"/>
  <c r="I70" i="1"/>
  <c r="J70" i="1" s="1"/>
  <c r="I35" i="1"/>
  <c r="J35" i="1" s="1"/>
  <c r="I67" i="1"/>
  <c r="J67" i="1" s="1"/>
  <c r="I99" i="1"/>
  <c r="J99" i="1" s="1"/>
  <c r="I36" i="1"/>
  <c r="J36" i="1" s="1"/>
  <c r="I68" i="1"/>
  <c r="J68" i="1" s="1"/>
  <c r="I100" i="1"/>
  <c r="J100" i="1" s="1"/>
  <c r="I82" i="1"/>
  <c r="J82" i="1" s="1"/>
  <c r="I86" i="1"/>
  <c r="J86" i="1" s="1"/>
  <c r="I129" i="1"/>
  <c r="J129" i="1" s="1"/>
  <c r="I121" i="1"/>
  <c r="J121" i="1" s="1"/>
  <c r="I61" i="1"/>
  <c r="J61" i="1" s="1"/>
  <c r="I102" i="1"/>
  <c r="J102" i="1" s="1"/>
  <c r="I42" i="1"/>
  <c r="J42" i="1" s="1"/>
  <c r="I77" i="1"/>
  <c r="J77" i="1" s="1"/>
  <c r="I47" i="1"/>
  <c r="J47" i="1" s="1"/>
  <c r="I79" i="1"/>
  <c r="J79" i="1" s="1"/>
  <c r="I111" i="1"/>
  <c r="J111" i="1" s="1"/>
  <c r="I69" i="1"/>
  <c r="J69" i="1" s="1"/>
  <c r="I34" i="1"/>
  <c r="J34" i="1" s="1"/>
  <c r="I109" i="1"/>
  <c r="J109" i="1" s="1"/>
  <c r="I74" i="1"/>
  <c r="J74" i="1" s="1"/>
  <c r="I56" i="1"/>
  <c r="J56" i="1" s="1"/>
  <c r="I88" i="1"/>
  <c r="J88" i="1" s="1"/>
  <c r="I120" i="1"/>
  <c r="J120" i="1" s="1"/>
  <c r="I106" i="1"/>
  <c r="J106" i="1" s="1"/>
  <c r="I98" i="1"/>
  <c r="J98" i="1" s="1"/>
  <c r="I114" i="1"/>
  <c r="J114" i="1" s="1"/>
  <c r="I49" i="1"/>
  <c r="J49" i="1" s="1"/>
  <c r="I81" i="1"/>
  <c r="J81" i="1" s="1"/>
  <c r="I32" i="1"/>
  <c r="J32" i="1" s="1"/>
  <c r="I64" i="1"/>
  <c r="J64" i="1" s="1"/>
  <c r="I96" i="1"/>
  <c r="J96" i="1" s="1"/>
  <c r="I128" i="1"/>
  <c r="J128" i="1" s="1"/>
  <c r="I58" i="1"/>
  <c r="J58" i="1" s="1"/>
  <c r="I66" i="1"/>
  <c r="J66" i="1" s="1"/>
  <c r="I101" i="1"/>
  <c r="J101" i="1" s="1"/>
  <c r="I125" i="1"/>
  <c r="J125" i="1" s="1"/>
  <c r="I39" i="1"/>
  <c r="J39" i="1" s="1"/>
  <c r="I103" i="1"/>
  <c r="J103" i="1" s="1"/>
  <c r="I43" i="1"/>
  <c r="J43" i="1" s="1"/>
  <c r="I75" i="1"/>
  <c r="J75" i="1" s="1"/>
  <c r="I107" i="1"/>
  <c r="J107" i="1" s="1"/>
  <c r="I60" i="1"/>
  <c r="J60" i="1" s="1"/>
  <c r="I92" i="1"/>
  <c r="J92" i="1" s="1"/>
  <c r="I124" i="1"/>
  <c r="J124" i="1" s="1"/>
  <c r="I122" i="1"/>
  <c r="J122" i="1" s="1"/>
  <c r="I89" i="1"/>
  <c r="J89" i="1" s="1"/>
  <c r="I54" i="1"/>
  <c r="J54" i="1" s="1"/>
  <c r="I97" i="1"/>
  <c r="J97" i="1" s="1"/>
  <c r="I59" i="1"/>
  <c r="J59" i="1" s="1"/>
  <c r="I91" i="1"/>
  <c r="J91" i="1" s="1"/>
  <c r="I123" i="1"/>
  <c r="J123" i="1" s="1"/>
  <c r="I44" i="1"/>
  <c r="J44" i="1" s="1"/>
  <c r="I76" i="1"/>
  <c r="J76" i="1" s="1"/>
  <c r="I108" i="1"/>
  <c r="J108" i="1" s="1"/>
  <c r="I48" i="1"/>
  <c r="J48" i="1" s="1"/>
  <c r="I80" i="1"/>
  <c r="J80" i="1" s="1"/>
  <c r="I112" i="1"/>
  <c r="J112" i="1" s="1"/>
  <c r="I71" i="1"/>
  <c r="J71" i="1" s="1"/>
  <c r="I31" i="1"/>
  <c r="J31" i="1" s="1"/>
  <c r="I63" i="1"/>
  <c r="J63" i="1" s="1"/>
  <c r="I95" i="1"/>
  <c r="J95" i="1" s="1"/>
  <c r="I127" i="1"/>
  <c r="J127" i="1" s="1"/>
  <c r="I52" i="1"/>
  <c r="J52" i="1" s="1"/>
  <c r="I84" i="1"/>
  <c r="J84" i="1" s="1"/>
  <c r="I116" i="1"/>
  <c r="J116" i="1" s="1"/>
  <c r="I30" i="1"/>
  <c r="J30" i="1" s="1"/>
  <c r="I51" i="1"/>
  <c r="J51" i="1" s="1"/>
  <c r="I83" i="1"/>
  <c r="J83" i="1" s="1"/>
  <c r="I115" i="1"/>
  <c r="J115" i="1" s="1"/>
  <c r="I55" i="1"/>
  <c r="J55" i="1" s="1"/>
  <c r="I87" i="1"/>
  <c r="J87" i="1" s="1"/>
  <c r="I119" i="1"/>
  <c r="J119" i="1" s="1"/>
  <c r="I40" i="1"/>
  <c r="J40" i="1" s="1"/>
  <c r="I72" i="1"/>
  <c r="J72" i="1" s="1"/>
  <c r="I104" i="1"/>
  <c r="J104" i="1" s="1"/>
</calcChain>
</file>

<file path=xl/sharedStrings.xml><?xml version="1.0" encoding="utf-8"?>
<sst xmlns="http://schemas.openxmlformats.org/spreadsheetml/2006/main" count="170" uniqueCount="69">
  <si>
    <t>Frequency</t>
  </si>
  <si>
    <t>Cs(F)</t>
  </si>
  <si>
    <t>D()</t>
  </si>
  <si>
    <t xml:space="preserve">V       </t>
  </si>
  <si>
    <t>1.000V</t>
  </si>
  <si>
    <t xml:space="preserve">LIM     </t>
  </si>
  <si>
    <t>OFF</t>
  </si>
  <si>
    <t xml:space="preserve">RANGE   </t>
  </si>
  <si>
    <t>AUTO</t>
  </si>
  <si>
    <t xml:space="preserve">OPEN    </t>
  </si>
  <si>
    <t>ALL</t>
  </si>
  <si>
    <t xml:space="preserve">SHORT   </t>
  </si>
  <si>
    <t xml:space="preserve">DELAY   </t>
  </si>
  <si>
    <t>0.00s</t>
  </si>
  <si>
    <t xml:space="preserve">AVE     </t>
  </si>
  <si>
    <t xml:space="preserve">SPEED   </t>
  </si>
  <si>
    <t>FAST</t>
  </si>
  <si>
    <t>Kutuplama Öncesi</t>
  </si>
  <si>
    <t>Sample ID</t>
  </si>
  <si>
    <t>m2</t>
  </si>
  <si>
    <t>m</t>
  </si>
  <si>
    <t>ε0 ≈</t>
  </si>
  <si>
    <t>F/m</t>
  </si>
  <si>
    <t>C=ε0εrA/d</t>
  </si>
  <si>
    <t>D(loss)</t>
  </si>
  <si>
    <t>εr= (C*d)/(ε0*A)</t>
  </si>
  <si>
    <t>K(Er)</t>
  </si>
  <si>
    <t>Frekans</t>
  </si>
  <si>
    <t>Cs (F)</t>
  </si>
  <si>
    <t>Cp (F)</t>
  </si>
  <si>
    <r>
      <t>D()=Tg</t>
    </r>
    <r>
      <rPr>
        <sz val="11"/>
        <color theme="1"/>
        <rFont val="Arial Tur"/>
        <charset val="162"/>
      </rPr>
      <t>α</t>
    </r>
  </si>
  <si>
    <r>
      <rPr>
        <sz val="11"/>
        <color theme="1"/>
        <rFont val="Arial Tur"/>
        <charset val="162"/>
      </rPr>
      <t>ε</t>
    </r>
    <r>
      <rPr>
        <sz val="11"/>
        <color theme="1"/>
        <rFont val="Calibri"/>
        <family val="2"/>
      </rPr>
      <t>r''</t>
    </r>
  </si>
  <si>
    <t>Area (cm2)</t>
  </si>
  <si>
    <r>
      <t>d (</t>
    </r>
    <r>
      <rPr>
        <sz val="11"/>
        <color theme="1"/>
        <rFont val="Arial Tur"/>
        <charset val="162"/>
      </rPr>
      <t>µ</t>
    </r>
    <r>
      <rPr>
        <sz val="11"/>
        <color theme="1"/>
        <rFont val="Calibri"/>
        <family val="2"/>
        <scheme val="minor"/>
      </rPr>
      <t>m)</t>
    </r>
  </si>
  <si>
    <r>
      <rPr>
        <sz val="11"/>
        <color theme="1"/>
        <rFont val="Arial Tur"/>
        <charset val="162"/>
      </rPr>
      <t>ε</t>
    </r>
    <r>
      <rPr>
        <sz val="11"/>
        <color theme="1"/>
        <rFont val="Calibri"/>
        <family val="2"/>
      </rPr>
      <t>r</t>
    </r>
    <r>
      <rPr>
        <sz val="11"/>
        <color theme="1"/>
        <rFont val="Calibri"/>
        <family val="2"/>
        <charset val="162"/>
      </rPr>
      <t xml:space="preserve"> (Cs ye göre)</t>
    </r>
  </si>
  <si>
    <r>
      <rPr>
        <sz val="11"/>
        <color theme="1"/>
        <rFont val="Arial Tur"/>
        <charset val="162"/>
      </rPr>
      <t>ε</t>
    </r>
    <r>
      <rPr>
        <sz val="11"/>
        <color theme="1"/>
        <rFont val="Calibri"/>
        <family val="2"/>
      </rPr>
      <t>r</t>
    </r>
    <r>
      <rPr>
        <sz val="11"/>
        <color theme="1"/>
        <rFont val="Calibri"/>
        <family val="2"/>
        <charset val="162"/>
      </rPr>
      <t xml:space="preserve"> (Cp ye göre)</t>
    </r>
  </si>
  <si>
    <t>εr (ortalama)</t>
  </si>
  <si>
    <t>Tanα</t>
  </si>
  <si>
    <t>HO</t>
  </si>
  <si>
    <t>Frequency 
(Hz)</t>
  </si>
  <si>
    <t>εr'</t>
  </si>
  <si>
    <t>PVDF+10vol.%PMN_30PT</t>
  </si>
  <si>
    <t>PVDF+20vol.%PMN_30PT</t>
  </si>
  <si>
    <t>PVDF+30vol.%PMN_30PT</t>
  </si>
  <si>
    <t>PVDF+10vol.%PMN_32.5PT</t>
  </si>
  <si>
    <t>PVDF+20vol.%PMN_32.5PT</t>
  </si>
  <si>
    <t>PVDF+30vol.%PMN_32.5PT</t>
  </si>
  <si>
    <t>PVDF+10vol.%PMN_35PT</t>
  </si>
  <si>
    <t>PVDF+20vol.%PMN_35PT</t>
  </si>
  <si>
    <t>PVDF+30vol.%PMN_35PT</t>
  </si>
  <si>
    <r>
      <rPr>
        <sz val="11"/>
        <color theme="1"/>
        <rFont val="Arial Tur"/>
        <charset val="162"/>
      </rPr>
      <t>ε</t>
    </r>
    <r>
      <rPr>
        <sz val="11"/>
        <color theme="1"/>
        <rFont val="Calibri"/>
        <family val="2"/>
      </rPr>
      <t>r</t>
    </r>
  </si>
  <si>
    <t>Area (m2)</t>
  </si>
  <si>
    <r>
      <t>d (</t>
    </r>
    <r>
      <rPr>
        <sz val="11"/>
        <color theme="1"/>
        <rFont val="Calibri"/>
        <family val="2"/>
        <scheme val="minor"/>
      </rPr>
      <t>m)</t>
    </r>
  </si>
  <si>
    <t>Frequency(Hz)</t>
  </si>
  <si>
    <t>Cs</t>
  </si>
  <si>
    <t>Cp</t>
  </si>
  <si>
    <t>PVDF</t>
  </si>
  <si>
    <t>pvdf</t>
  </si>
  <si>
    <t>pvdf/BATİO3</t>
  </si>
  <si>
    <t>PVDF/BaTiO3</t>
  </si>
  <si>
    <t>1wt.%MWCNT</t>
  </si>
  <si>
    <t>2wt.%MWCNT</t>
  </si>
  <si>
    <t>3wt.%MWCNT</t>
  </si>
  <si>
    <t>PVDF/BaTiO3/1wt.%Mwcnt</t>
  </si>
  <si>
    <t>PVDF/BaTiO3/2wt.%Mwcnt</t>
  </si>
  <si>
    <t>PVDF/BaTiO3/3wt.%Mwcnt</t>
  </si>
  <si>
    <t>0.015gr</t>
  </si>
  <si>
    <t>0.03gr</t>
  </si>
  <si>
    <t>0.045gr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</si>
</sst>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2"/>
      <color rgb="FF3F3F3F"/>
      <name val="Times New Roman"/>
      <family val="1"/>
      <charset val="16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1"/>
      <color theme="1"/>
      <name val="Arial Tur"/>
      <charset val="162"/>
    </font>
    <font>
      <sz val="11"/>
      <color theme="1"/>
      <name val="Calibri"/>
      <family val="2"/>
    </font>
    <font>
      <b/>
      <sz val="20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56">
    <xf numFmtId="0" fontId="0" fillId="0" borderId="0" xfId="0"/>
    <xf numFmtId="11" fontId="0" fillId="0" borderId="0" xfId="0" applyNumberFormat="1"/>
    <xf numFmtId="164" fontId="4" fillId="2" borderId="1" xfId="1" applyNumberFormat="1" applyFont="1"/>
    <xf numFmtId="164" fontId="0" fillId="3" borderId="0" xfId="0" applyNumberFormat="1" applyFill="1"/>
    <xf numFmtId="11" fontId="5" fillId="0" borderId="0" xfId="0" applyNumberFormat="1" applyFont="1"/>
    <xf numFmtId="0" fontId="7" fillId="0" borderId="0" xfId="0" applyFont="1"/>
    <xf numFmtId="0" fontId="0" fillId="0" borderId="2" xfId="0" applyBorder="1"/>
    <xf numFmtId="0" fontId="2" fillId="0" borderId="0" xfId="0" applyFont="1"/>
    <xf numFmtId="0" fontId="7" fillId="0" borderId="2" xfId="0" applyFont="1" applyBorder="1"/>
    <xf numFmtId="0" fontId="6" fillId="0" borderId="3" xfId="0" applyFont="1" applyBorder="1" applyAlignment="1">
      <alignment horizontal="centerContinuous"/>
    </xf>
    <xf numFmtId="0" fontId="6" fillId="0" borderId="4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7" fillId="0" borderId="2" xfId="0" applyFont="1" applyBorder="1" applyAlignment="1">
      <alignment wrapText="1"/>
    </xf>
    <xf numFmtId="164" fontId="0" fillId="4" borderId="0" xfId="0" applyNumberFormat="1" applyFill="1"/>
    <xf numFmtId="0" fontId="0" fillId="4" borderId="0" xfId="0" applyFill="1"/>
    <xf numFmtId="0" fontId="0" fillId="5" borderId="0" xfId="0" applyFill="1"/>
    <xf numFmtId="0" fontId="10" fillId="5" borderId="0" xfId="0" applyFont="1" applyFill="1"/>
    <xf numFmtId="0" fontId="1" fillId="0" borderId="2" xfId="0" applyFont="1" applyBorder="1"/>
    <xf numFmtId="0" fontId="6" fillId="6" borderId="3" xfId="0" applyFont="1" applyFill="1" applyBorder="1" applyAlignment="1">
      <alignment horizontal="centerContinuous"/>
    </xf>
    <xf numFmtId="0" fontId="6" fillId="6" borderId="4" xfId="0" applyFont="1" applyFill="1" applyBorder="1" applyAlignment="1">
      <alignment horizontal="centerContinuous"/>
    </xf>
    <xf numFmtId="0" fontId="6" fillId="6" borderId="5" xfId="0" applyFont="1" applyFill="1" applyBorder="1" applyAlignment="1">
      <alignment horizontal="centerContinuous"/>
    </xf>
    <xf numFmtId="0" fontId="1" fillId="6" borderId="2" xfId="0" applyFont="1" applyFill="1" applyBorder="1"/>
    <xf numFmtId="0" fontId="7" fillId="6" borderId="2" xfId="0" applyFont="1" applyFill="1" applyBorder="1"/>
    <xf numFmtId="0" fontId="0" fillId="6" borderId="2" xfId="0" applyFill="1" applyBorder="1"/>
    <xf numFmtId="0" fontId="6" fillId="7" borderId="3" xfId="0" applyFont="1" applyFill="1" applyBorder="1" applyAlignment="1">
      <alignment horizontal="centerContinuous"/>
    </xf>
    <xf numFmtId="0" fontId="6" fillId="7" borderId="4" xfId="0" applyFont="1" applyFill="1" applyBorder="1" applyAlignment="1">
      <alignment horizontal="centerContinuous"/>
    </xf>
    <xf numFmtId="0" fontId="6" fillId="7" borderId="5" xfId="0" applyFont="1" applyFill="1" applyBorder="1" applyAlignment="1">
      <alignment horizontal="centerContinuous"/>
    </xf>
    <xf numFmtId="0" fontId="1" fillId="7" borderId="2" xfId="0" applyFont="1" applyFill="1" applyBorder="1"/>
    <xf numFmtId="0" fontId="7" fillId="7" borderId="2" xfId="0" applyFont="1" applyFill="1" applyBorder="1"/>
    <xf numFmtId="0" fontId="0" fillId="7" borderId="2" xfId="0" applyFill="1" applyBorder="1"/>
    <xf numFmtId="0" fontId="6" fillId="8" borderId="3" xfId="0" applyFont="1" applyFill="1" applyBorder="1" applyAlignment="1">
      <alignment horizontal="centerContinuous"/>
    </xf>
    <xf numFmtId="0" fontId="6" fillId="8" borderId="4" xfId="0" applyFont="1" applyFill="1" applyBorder="1" applyAlignment="1">
      <alignment horizontal="centerContinuous"/>
    </xf>
    <xf numFmtId="0" fontId="6" fillId="8" borderId="5" xfId="0" applyFont="1" applyFill="1" applyBorder="1" applyAlignment="1">
      <alignment horizontal="centerContinuous"/>
    </xf>
    <xf numFmtId="0" fontId="1" fillId="8" borderId="2" xfId="0" applyFont="1" applyFill="1" applyBorder="1"/>
    <xf numFmtId="0" fontId="7" fillId="8" borderId="2" xfId="0" applyFont="1" applyFill="1" applyBorder="1"/>
    <xf numFmtId="0" fontId="0" fillId="8" borderId="2" xfId="0" applyFill="1" applyBorder="1"/>
    <xf numFmtId="0" fontId="0" fillId="3" borderId="0" xfId="0" applyFill="1" applyAlignment="1">
      <alignment wrapText="1"/>
    </xf>
    <xf numFmtId="0" fontId="0" fillId="9" borderId="0" xfId="0" applyFill="1"/>
    <xf numFmtId="0" fontId="5" fillId="9" borderId="0" xfId="0" applyFont="1" applyFill="1"/>
    <xf numFmtId="11" fontId="5" fillId="9" borderId="0" xfId="0" applyNumberFormat="1" applyFont="1" applyFill="1"/>
    <xf numFmtId="11" fontId="0" fillId="9" borderId="0" xfId="0" applyNumberFormat="1" applyFill="1"/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1" fontId="5" fillId="9" borderId="0" xfId="0" applyNumberFormat="1" applyFont="1" applyFill="1" applyAlignment="1">
      <alignment horizontal="center"/>
    </xf>
    <xf numFmtId="11" fontId="0" fillId="9" borderId="0" xfId="0" applyNumberFormat="1" applyFill="1" applyAlignment="1">
      <alignment horizontal="center"/>
    </xf>
    <xf numFmtId="165" fontId="0" fillId="0" borderId="0" xfId="0" applyNumberFormat="1"/>
    <xf numFmtId="165" fontId="7" fillId="0" borderId="2" xfId="0" applyNumberFormat="1" applyFont="1" applyBorder="1"/>
    <xf numFmtId="0" fontId="0" fillId="8" borderId="0" xfId="0" applyFill="1"/>
    <xf numFmtId="0" fontId="0" fillId="8" borderId="0" xfId="0" applyFill="1" applyAlignment="1">
      <alignment wrapText="1"/>
    </xf>
    <xf numFmtId="2" fontId="0" fillId="0" borderId="0" xfId="0" applyNumberFormat="1"/>
    <xf numFmtId="11" fontId="6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1" fontId="5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649817255592285E-2"/>
          <c:y val="2.0019030428047049E-2"/>
          <c:w val="0.81913383554223551"/>
          <c:h val="0.78860906037279199"/>
        </c:manualLayout>
      </c:layout>
      <c:scatterChart>
        <c:scatterStyle val="smoothMarker"/>
        <c:varyColors val="0"/>
        <c:ser>
          <c:idx val="0"/>
          <c:order val="0"/>
          <c:tx>
            <c:v>PVDF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dielectric constant &amp; loss'!$B$25:$B$225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loss'!$G$25:$G$225</c:f>
              <c:numCache>
                <c:formatCode>0.00E+00</c:formatCode>
                <c:ptCount val="201"/>
                <c:pt idx="0">
                  <c:v>0.70264516287653545</c:v>
                </c:pt>
                <c:pt idx="1">
                  <c:v>0.70034941738159018</c:v>
                </c:pt>
                <c:pt idx="2">
                  <c:v>0.69960721853683883</c:v>
                </c:pt>
                <c:pt idx="3">
                  <c:v>0.69897104809848054</c:v>
                </c:pt>
                <c:pt idx="4">
                  <c:v>0.6985177382450608</c:v>
                </c:pt>
                <c:pt idx="5">
                  <c:v>0.69813511399590333</c:v>
                </c:pt>
                <c:pt idx="6">
                  <c:v>0.69781702877672414</c:v>
                </c:pt>
                <c:pt idx="7">
                  <c:v>0.69756348258752332</c:v>
                </c:pt>
                <c:pt idx="8">
                  <c:v>0.69720698127907144</c:v>
                </c:pt>
                <c:pt idx="9">
                  <c:v>0.69695036180272874</c:v>
                </c:pt>
                <c:pt idx="10">
                  <c:v>0.69672908512851717</c:v>
                </c:pt>
                <c:pt idx="11">
                  <c:v>0.6965462245435784</c:v>
                </c:pt>
                <c:pt idx="12">
                  <c:v>0.6962926783543778</c:v>
                </c:pt>
                <c:pt idx="13">
                  <c:v>0.69604681538303148</c:v>
                </c:pt>
                <c:pt idx="14">
                  <c:v>0.69584858836238361</c:v>
                </c:pt>
                <c:pt idx="15">
                  <c:v>0.69566265449030307</c:v>
                </c:pt>
                <c:pt idx="16">
                  <c:v>0.69547825726179346</c:v>
                </c:pt>
                <c:pt idx="17">
                  <c:v>0.6952953966768548</c:v>
                </c:pt>
                <c:pt idx="18">
                  <c:v>0.69514019567619256</c:v>
                </c:pt>
                <c:pt idx="19">
                  <c:v>0.69502802069551561</c:v>
                </c:pt>
                <c:pt idx="20">
                  <c:v>0.69479291422916578</c:v>
                </c:pt>
                <c:pt idx="21">
                  <c:v>0.69462388343636539</c:v>
                </c:pt>
                <c:pt idx="22">
                  <c:v>0.69445331599999394</c:v>
                </c:pt>
                <c:pt idx="23">
                  <c:v>0.69428582185076426</c:v>
                </c:pt>
                <c:pt idx="24">
                  <c:v>0.69411525441439292</c:v>
                </c:pt>
                <c:pt idx="25">
                  <c:v>0.69392778389874166</c:v>
                </c:pt>
                <c:pt idx="26">
                  <c:v>0.69374799660094444</c:v>
                </c:pt>
                <c:pt idx="27">
                  <c:v>0.69357281923386038</c:v>
                </c:pt>
                <c:pt idx="28">
                  <c:v>0.69349598705531479</c:v>
                </c:pt>
                <c:pt idx="29">
                  <c:v>0.69333002954965584</c:v>
                </c:pt>
                <c:pt idx="30">
                  <c:v>0.69317636519256465</c:v>
                </c:pt>
                <c:pt idx="31">
                  <c:v>0.69302884740975679</c:v>
                </c:pt>
                <c:pt idx="32">
                  <c:v>0.69287518305266549</c:v>
                </c:pt>
                <c:pt idx="33">
                  <c:v>0.69272305533914502</c:v>
                </c:pt>
                <c:pt idx="34">
                  <c:v>0.69257246426919539</c:v>
                </c:pt>
                <c:pt idx="35">
                  <c:v>0.69244492285280956</c:v>
                </c:pt>
                <c:pt idx="36">
                  <c:v>0.69227589206000917</c:v>
                </c:pt>
                <c:pt idx="37">
                  <c:v>0.69212530099005942</c:v>
                </c:pt>
                <c:pt idx="38">
                  <c:v>0.69200544279152831</c:v>
                </c:pt>
                <c:pt idx="39">
                  <c:v>0.69184409521658241</c:v>
                </c:pt>
                <c:pt idx="40">
                  <c:v>0.69177955618660392</c:v>
                </c:pt>
                <c:pt idx="41">
                  <c:v>0.69165508805735976</c:v>
                </c:pt>
                <c:pt idx="42">
                  <c:v>0.69153676650239948</c:v>
                </c:pt>
                <c:pt idx="43">
                  <c:v>0.69140461515530105</c:v>
                </c:pt>
                <c:pt idx="44">
                  <c:v>0.6912724638082024</c:v>
                </c:pt>
                <c:pt idx="45">
                  <c:v>0.69113570253039092</c:v>
                </c:pt>
                <c:pt idx="46">
                  <c:v>0.69107731007469619</c:v>
                </c:pt>
                <c:pt idx="47">
                  <c:v>0.69093440222260138</c:v>
                </c:pt>
                <c:pt idx="48">
                  <c:v>0.6908007142319319</c:v>
                </c:pt>
                <c:pt idx="49">
                  <c:v>0.69067931938982963</c:v>
                </c:pt>
                <c:pt idx="50">
                  <c:v>0.69053026496345105</c:v>
                </c:pt>
                <c:pt idx="51">
                  <c:v>0.6903827471806433</c:v>
                </c:pt>
                <c:pt idx="52">
                  <c:v>0.69028901192281755</c:v>
                </c:pt>
                <c:pt idx="53">
                  <c:v>0.69017376365499894</c:v>
                </c:pt>
                <c:pt idx="54">
                  <c:v>0.69007541846646048</c:v>
                </c:pt>
                <c:pt idx="55">
                  <c:v>0.68996478012935469</c:v>
                </c:pt>
                <c:pt idx="56">
                  <c:v>0.68984645857439431</c:v>
                </c:pt>
                <c:pt idx="57">
                  <c:v>0.68972813701943403</c:v>
                </c:pt>
                <c:pt idx="58">
                  <c:v>0.68961749868232824</c:v>
                </c:pt>
                <c:pt idx="59">
                  <c:v>0.68949610384022608</c:v>
                </c:pt>
                <c:pt idx="60">
                  <c:v>0.68945154117666951</c:v>
                </c:pt>
                <c:pt idx="61">
                  <c:v>0.68935012270098928</c:v>
                </c:pt>
                <c:pt idx="62">
                  <c:v>0.68924563093816704</c:v>
                </c:pt>
                <c:pt idx="63">
                  <c:v>0.68914267581891586</c:v>
                </c:pt>
                <c:pt idx="64">
                  <c:v>0.68903203748181008</c:v>
                </c:pt>
                <c:pt idx="65">
                  <c:v>0.68893830222398444</c:v>
                </c:pt>
                <c:pt idx="66">
                  <c:v>0.68883227381759127</c:v>
                </c:pt>
                <c:pt idx="67">
                  <c:v>0.68872470876762737</c:v>
                </c:pt>
                <c:pt idx="68">
                  <c:v>0.68862482693551785</c:v>
                </c:pt>
                <c:pt idx="69">
                  <c:v>0.68851726188555396</c:v>
                </c:pt>
                <c:pt idx="70">
                  <c:v>0.68842045334058632</c:v>
                </c:pt>
                <c:pt idx="71">
                  <c:v>0.68832210815204786</c:v>
                </c:pt>
                <c:pt idx="72">
                  <c:v>0.68822376296350929</c:v>
                </c:pt>
                <c:pt idx="73">
                  <c:v>0.68812234448782905</c:v>
                </c:pt>
                <c:pt idx="74">
                  <c:v>0.68802399929929059</c:v>
                </c:pt>
                <c:pt idx="75">
                  <c:v>0.68765827812941316</c:v>
                </c:pt>
                <c:pt idx="76">
                  <c:v>0.68750615041589258</c:v>
                </c:pt>
                <c:pt idx="77">
                  <c:v>0.68742317166306333</c:v>
                </c:pt>
                <c:pt idx="78">
                  <c:v>0.68736631585093955</c:v>
                </c:pt>
                <c:pt idx="79">
                  <c:v>0.68732175318738298</c:v>
                </c:pt>
                <c:pt idx="80">
                  <c:v>0.68732482647452497</c:v>
                </c:pt>
                <c:pt idx="81">
                  <c:v>0.68728794702882279</c:v>
                </c:pt>
                <c:pt idx="82">
                  <c:v>0.6872495309395501</c:v>
                </c:pt>
                <c:pt idx="83">
                  <c:v>0.68720496827599364</c:v>
                </c:pt>
                <c:pt idx="84">
                  <c:v>0.68717116211743345</c:v>
                </c:pt>
                <c:pt idx="85">
                  <c:v>0.68713581931530243</c:v>
                </c:pt>
                <c:pt idx="86">
                  <c:v>0.68708357343389126</c:v>
                </c:pt>
                <c:pt idx="87">
                  <c:v>0.68704054741390574</c:v>
                </c:pt>
                <c:pt idx="88">
                  <c:v>0.68699137481963668</c:v>
                </c:pt>
                <c:pt idx="89">
                  <c:v>0.68694373886893834</c:v>
                </c:pt>
                <c:pt idx="90">
                  <c:v>0.68688380976967256</c:v>
                </c:pt>
                <c:pt idx="91">
                  <c:v>0.68681773409612323</c:v>
                </c:pt>
                <c:pt idx="92">
                  <c:v>0.68674397520471941</c:v>
                </c:pt>
                <c:pt idx="93">
                  <c:v>0.68666560638260277</c:v>
                </c:pt>
                <c:pt idx="94">
                  <c:v>0.68659184749119895</c:v>
                </c:pt>
                <c:pt idx="95">
                  <c:v>0.68650886873836958</c:v>
                </c:pt>
                <c:pt idx="96">
                  <c:v>0.68643818313410743</c:v>
                </c:pt>
                <c:pt idx="97">
                  <c:v>0.68636288759913289</c:v>
                </c:pt>
                <c:pt idx="98">
                  <c:v>0.68628298213344519</c:v>
                </c:pt>
                <c:pt idx="99">
                  <c:v>0.68620154002418687</c:v>
                </c:pt>
                <c:pt idx="100">
                  <c:v>0.68619539344990321</c:v>
                </c:pt>
                <c:pt idx="101">
                  <c:v>0.6861339277070666</c:v>
                </c:pt>
                <c:pt idx="102">
                  <c:v>0.68604787566709535</c:v>
                </c:pt>
                <c:pt idx="103">
                  <c:v>0.68599409314211346</c:v>
                </c:pt>
                <c:pt idx="104">
                  <c:v>0.68592494418142225</c:v>
                </c:pt>
                <c:pt idx="105">
                  <c:v>0.68585579522073126</c:v>
                </c:pt>
                <c:pt idx="106">
                  <c:v>0.6857881829036111</c:v>
                </c:pt>
                <c:pt idx="107">
                  <c:v>0.68572671716077449</c:v>
                </c:pt>
                <c:pt idx="108">
                  <c:v>0.68566371477436705</c:v>
                </c:pt>
                <c:pt idx="109">
                  <c:v>0.68558995588296301</c:v>
                </c:pt>
                <c:pt idx="110">
                  <c:v>0.68552388020941391</c:v>
                </c:pt>
                <c:pt idx="111">
                  <c:v>0.68546087782300635</c:v>
                </c:pt>
                <c:pt idx="112">
                  <c:v>0.6854009487237408</c:v>
                </c:pt>
                <c:pt idx="113">
                  <c:v>0.68533333640662053</c:v>
                </c:pt>
                <c:pt idx="114">
                  <c:v>0.68526879737664226</c:v>
                </c:pt>
                <c:pt idx="115">
                  <c:v>0.68520425834666376</c:v>
                </c:pt>
                <c:pt idx="116">
                  <c:v>0.68513971931668549</c:v>
                </c:pt>
                <c:pt idx="117">
                  <c:v>0.68507057035599417</c:v>
                </c:pt>
                <c:pt idx="118">
                  <c:v>0.68500910461315778</c:v>
                </c:pt>
                <c:pt idx="119">
                  <c:v>0.68494610222675012</c:v>
                </c:pt>
                <c:pt idx="120">
                  <c:v>0.68488463648391362</c:v>
                </c:pt>
                <c:pt idx="121">
                  <c:v>0.68481395087965158</c:v>
                </c:pt>
                <c:pt idx="122">
                  <c:v>0.68475555842395697</c:v>
                </c:pt>
                <c:pt idx="123">
                  <c:v>0.68468026288898221</c:v>
                </c:pt>
                <c:pt idx="124">
                  <c:v>0.68461572385900382</c:v>
                </c:pt>
                <c:pt idx="125">
                  <c:v>0.68455118482902544</c:v>
                </c:pt>
                <c:pt idx="126">
                  <c:v>0.68448818244261789</c:v>
                </c:pt>
                <c:pt idx="127">
                  <c:v>0.6844190334819269</c:v>
                </c:pt>
                <c:pt idx="128">
                  <c:v>0.6843544944519484</c:v>
                </c:pt>
                <c:pt idx="129">
                  <c:v>0.68428227220411542</c:v>
                </c:pt>
                <c:pt idx="130">
                  <c:v>0.68422234310484975</c:v>
                </c:pt>
                <c:pt idx="131">
                  <c:v>0.68416241400558442</c:v>
                </c:pt>
                <c:pt idx="132">
                  <c:v>0.68411324141131502</c:v>
                </c:pt>
                <c:pt idx="133">
                  <c:v>0.68407482532204211</c:v>
                </c:pt>
                <c:pt idx="134">
                  <c:v>0.68404409245062381</c:v>
                </c:pt>
                <c:pt idx="135">
                  <c:v>0.6840133595792055</c:v>
                </c:pt>
                <c:pt idx="136">
                  <c:v>0.68398569999492909</c:v>
                </c:pt>
                <c:pt idx="137">
                  <c:v>0.68394728390565618</c:v>
                </c:pt>
                <c:pt idx="138">
                  <c:v>0.68390886781638349</c:v>
                </c:pt>
                <c:pt idx="139">
                  <c:v>0.68387045172711047</c:v>
                </c:pt>
                <c:pt idx="140">
                  <c:v>0.68389964795495806</c:v>
                </c:pt>
                <c:pt idx="141">
                  <c:v>0.68386123186568515</c:v>
                </c:pt>
                <c:pt idx="142">
                  <c:v>0.68382742570712496</c:v>
                </c:pt>
                <c:pt idx="143">
                  <c:v>0.68378747297428133</c:v>
                </c:pt>
                <c:pt idx="144">
                  <c:v>0.68374752024143748</c:v>
                </c:pt>
                <c:pt idx="145">
                  <c:v>0.68371064079573562</c:v>
                </c:pt>
                <c:pt idx="146">
                  <c:v>0.68367068806289188</c:v>
                </c:pt>
                <c:pt idx="147">
                  <c:v>0.68363380861718992</c:v>
                </c:pt>
                <c:pt idx="148">
                  <c:v>0.68360307574577162</c:v>
                </c:pt>
                <c:pt idx="149">
                  <c:v>0.68356312301292788</c:v>
                </c:pt>
                <c:pt idx="150">
                  <c:v>0.68352317028008414</c:v>
                </c:pt>
                <c:pt idx="151">
                  <c:v>0.68348782747795311</c:v>
                </c:pt>
                <c:pt idx="152">
                  <c:v>0.68344633810153843</c:v>
                </c:pt>
                <c:pt idx="153">
                  <c:v>0.68340792201226552</c:v>
                </c:pt>
                <c:pt idx="154">
                  <c:v>0.68337104256656356</c:v>
                </c:pt>
                <c:pt idx="155">
                  <c:v>0.68333262647729076</c:v>
                </c:pt>
                <c:pt idx="156">
                  <c:v>0.68328960045730525</c:v>
                </c:pt>
                <c:pt idx="157">
                  <c:v>0.6832419645066069</c:v>
                </c:pt>
                <c:pt idx="158">
                  <c:v>0.68319740184305033</c:v>
                </c:pt>
                <c:pt idx="159">
                  <c:v>0.68315437582306471</c:v>
                </c:pt>
                <c:pt idx="160">
                  <c:v>0.68310212994165376</c:v>
                </c:pt>
                <c:pt idx="161">
                  <c:v>0.68306678713952274</c:v>
                </c:pt>
                <c:pt idx="162">
                  <c:v>0.68300685804025707</c:v>
                </c:pt>
                <c:pt idx="163">
                  <c:v>0.68294846558456246</c:v>
                </c:pt>
                <c:pt idx="164">
                  <c:v>0.6828777799803003</c:v>
                </c:pt>
                <c:pt idx="165">
                  <c:v>0.68279941115818366</c:v>
                </c:pt>
                <c:pt idx="166">
                  <c:v>0.68272718891035078</c:v>
                </c:pt>
                <c:pt idx="167">
                  <c:v>0.68265496666251779</c:v>
                </c:pt>
                <c:pt idx="168">
                  <c:v>0.68257045126611748</c:v>
                </c:pt>
                <c:pt idx="169">
                  <c:v>0.68250130230542638</c:v>
                </c:pt>
                <c:pt idx="170">
                  <c:v>0.68243368998830622</c:v>
                </c:pt>
                <c:pt idx="171">
                  <c:v>0.68237068760189867</c:v>
                </c:pt>
                <c:pt idx="172">
                  <c:v>0.68229231877978225</c:v>
                </c:pt>
                <c:pt idx="173">
                  <c:v>0.68221702324480737</c:v>
                </c:pt>
                <c:pt idx="174">
                  <c:v>0.6821448009969745</c:v>
                </c:pt>
                <c:pt idx="175">
                  <c:v>0.68208179861056695</c:v>
                </c:pt>
                <c:pt idx="176">
                  <c:v>0.68200496643202113</c:v>
                </c:pt>
                <c:pt idx="177">
                  <c:v>0.68192967089704659</c:v>
                </c:pt>
                <c:pt idx="178">
                  <c:v>0.68184669214421723</c:v>
                </c:pt>
                <c:pt idx="179">
                  <c:v>0.68179598290637689</c:v>
                </c:pt>
                <c:pt idx="180">
                  <c:v>0.68171761408426035</c:v>
                </c:pt>
                <c:pt idx="181">
                  <c:v>0.68165614834142385</c:v>
                </c:pt>
                <c:pt idx="182">
                  <c:v>0.68158699938073264</c:v>
                </c:pt>
                <c:pt idx="183">
                  <c:v>0.68151785042004165</c:v>
                </c:pt>
                <c:pt idx="184">
                  <c:v>0.68145484803363421</c:v>
                </c:pt>
                <c:pt idx="185">
                  <c:v>0.68139491893436854</c:v>
                </c:pt>
                <c:pt idx="186">
                  <c:v>0.68133037990439005</c:v>
                </c:pt>
                <c:pt idx="187">
                  <c:v>0.68126584087441178</c:v>
                </c:pt>
                <c:pt idx="188">
                  <c:v>0.68120744841871705</c:v>
                </c:pt>
                <c:pt idx="189">
                  <c:v>0.68114751931945128</c:v>
                </c:pt>
                <c:pt idx="190">
                  <c:v>0.68108912686375667</c:v>
                </c:pt>
                <c:pt idx="191">
                  <c:v>0.681029197764491</c:v>
                </c:pt>
                <c:pt idx="192">
                  <c:v>0.68097234195236722</c:v>
                </c:pt>
                <c:pt idx="193">
                  <c:v>0.68092624264523971</c:v>
                </c:pt>
                <c:pt idx="194">
                  <c:v>0.68087092347668687</c:v>
                </c:pt>
                <c:pt idx="195">
                  <c:v>0.68082482416955947</c:v>
                </c:pt>
                <c:pt idx="196">
                  <c:v>0.68077411493171913</c:v>
                </c:pt>
                <c:pt idx="197">
                  <c:v>0.68072033240673724</c:v>
                </c:pt>
                <c:pt idx="198">
                  <c:v>0.68066654988175535</c:v>
                </c:pt>
                <c:pt idx="199">
                  <c:v>0.68061430400034417</c:v>
                </c:pt>
                <c:pt idx="200">
                  <c:v>0.68056205811893311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87-488E-998D-D440F88B3C04}"/>
            </c:ext>
          </c:extLst>
        </c:ser>
        <c:ser>
          <c:idx val="3"/>
          <c:order val="1"/>
          <c:tx>
            <c:v>PVDF/BTO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'All dielectric constant &amp; loss'!$B$25:$B$225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loss'!$P$25:$P$225</c:f>
              <c:numCache>
                <c:formatCode>0.00E+00</c:formatCode>
                <c:ptCount val="201"/>
                <c:pt idx="0">
                  <c:v>0.45610729767398261</c:v>
                </c:pt>
                <c:pt idx="1">
                  <c:v>0.45453146969201064</c:v>
                </c:pt>
                <c:pt idx="2">
                  <c:v>0.45405987378009705</c:v>
                </c:pt>
                <c:pt idx="3">
                  <c:v>0.45369507459636221</c:v>
                </c:pt>
                <c:pt idx="4">
                  <c:v>0.45338159930789579</c:v>
                </c:pt>
                <c:pt idx="5">
                  <c:v>0.45316185927725516</c:v>
                </c:pt>
                <c:pt idx="6">
                  <c:v>0.45296655187939194</c:v>
                </c:pt>
                <c:pt idx="7">
                  <c:v>0.45279813574401984</c:v>
                </c:pt>
                <c:pt idx="8">
                  <c:v>0.45258730824609045</c:v>
                </c:pt>
                <c:pt idx="9">
                  <c:v>0.45243779282664048</c:v>
                </c:pt>
                <c:pt idx="10">
                  <c:v>0.45230010956268668</c:v>
                </c:pt>
                <c:pt idx="11">
                  <c:v>0.45220852560586017</c:v>
                </c:pt>
                <c:pt idx="12">
                  <c:v>0.45205593689926843</c:v>
                </c:pt>
                <c:pt idx="13">
                  <c:v>0.45190718980160399</c:v>
                </c:pt>
                <c:pt idx="14">
                  <c:v>0.4517741164683628</c:v>
                </c:pt>
                <c:pt idx="15">
                  <c:v>0.45168714244224911</c:v>
                </c:pt>
                <c:pt idx="16">
                  <c:v>0.4515811140358561</c:v>
                </c:pt>
                <c:pt idx="17">
                  <c:v>0.4514812322037467</c:v>
                </c:pt>
                <c:pt idx="18">
                  <c:v>0.45140209505984458</c:v>
                </c:pt>
                <c:pt idx="19">
                  <c:v>0.45134831253486257</c:v>
                </c:pt>
                <c:pt idx="20">
                  <c:v>0.45119956543719814</c:v>
                </c:pt>
                <c:pt idx="21">
                  <c:v>0.45111105476751351</c:v>
                </c:pt>
                <c:pt idx="22">
                  <c:v>0.4510271540285416</c:v>
                </c:pt>
                <c:pt idx="23">
                  <c:v>0.45086918706945173</c:v>
                </c:pt>
                <c:pt idx="24">
                  <c:v>0.45078451800869435</c:v>
                </c:pt>
                <c:pt idx="25">
                  <c:v>0.4506834068617282</c:v>
                </c:pt>
                <c:pt idx="26">
                  <c:v>0.45058936427518831</c:v>
                </c:pt>
                <c:pt idx="27">
                  <c:v>0.4505010072698607</c:v>
                </c:pt>
                <c:pt idx="28">
                  <c:v>0.45045644460630424</c:v>
                </c:pt>
                <c:pt idx="29">
                  <c:v>0.45037945876340146</c:v>
                </c:pt>
                <c:pt idx="30">
                  <c:v>0.4503024729204988</c:v>
                </c:pt>
                <c:pt idx="31">
                  <c:v>0.45023578258952107</c:v>
                </c:pt>
                <c:pt idx="32">
                  <c:v>0.45015556979511934</c:v>
                </c:pt>
                <c:pt idx="33">
                  <c:v>0.45008134991064419</c:v>
                </c:pt>
                <c:pt idx="34">
                  <c:v>0.44998961228946072</c:v>
                </c:pt>
                <c:pt idx="35">
                  <c:v>0.44991139713170109</c:v>
                </c:pt>
                <c:pt idx="36">
                  <c:v>0.44985500231264852</c:v>
                </c:pt>
                <c:pt idx="37">
                  <c:v>0.44976741362910649</c:v>
                </c:pt>
                <c:pt idx="38">
                  <c:v>0.44965846559992878</c:v>
                </c:pt>
                <c:pt idx="39">
                  <c:v>0.4495699549302441</c:v>
                </c:pt>
                <c:pt idx="40">
                  <c:v>0.44956350102724624</c:v>
                </c:pt>
                <c:pt idx="41">
                  <c:v>0.44949204710119872</c:v>
                </c:pt>
                <c:pt idx="42">
                  <c:v>0.44942673974943492</c:v>
                </c:pt>
                <c:pt idx="43">
                  <c:v>0.44934652695503319</c:v>
                </c:pt>
                <c:pt idx="44">
                  <c:v>0.44927845364484176</c:v>
                </c:pt>
                <c:pt idx="45">
                  <c:v>0.44922421012678854</c:v>
                </c:pt>
                <c:pt idx="46">
                  <c:v>0.44914937558488499</c:v>
                </c:pt>
                <c:pt idx="47">
                  <c:v>0.44907699967269493</c:v>
                </c:pt>
                <c:pt idx="48">
                  <c:v>0.4490086190337893</c:v>
                </c:pt>
                <c:pt idx="49">
                  <c:v>0.44894930459195204</c:v>
                </c:pt>
                <c:pt idx="50">
                  <c:v>0.44888292158968862</c:v>
                </c:pt>
                <c:pt idx="51">
                  <c:v>0.44880931636264182</c:v>
                </c:pt>
                <c:pt idx="52">
                  <c:v>0.44876905630108382</c:v>
                </c:pt>
                <c:pt idx="53">
                  <c:v>0.44876444637037105</c:v>
                </c:pt>
                <c:pt idx="54">
                  <c:v>0.44877335890308245</c:v>
                </c:pt>
                <c:pt idx="55">
                  <c:v>0.4487547655158744</c:v>
                </c:pt>
                <c:pt idx="56">
                  <c:v>0.44875184589308958</c:v>
                </c:pt>
                <c:pt idx="57">
                  <c:v>0.44873217685538186</c:v>
                </c:pt>
                <c:pt idx="58">
                  <c:v>0.44869821703246465</c:v>
                </c:pt>
                <c:pt idx="59">
                  <c:v>0.44865150306790896</c:v>
                </c:pt>
                <c:pt idx="60">
                  <c:v>0.44863920991934159</c:v>
                </c:pt>
                <c:pt idx="61">
                  <c:v>0.4485951082488564</c:v>
                </c:pt>
                <c:pt idx="62">
                  <c:v>0.44856452904179522</c:v>
                </c:pt>
                <c:pt idx="63">
                  <c:v>0.44851812240595362</c:v>
                </c:pt>
                <c:pt idx="64">
                  <c:v>0.44847509638596794</c:v>
                </c:pt>
                <c:pt idx="65">
                  <c:v>0.44837936349150015</c:v>
                </c:pt>
                <c:pt idx="66">
                  <c:v>0.44830207031988312</c:v>
                </c:pt>
                <c:pt idx="67">
                  <c:v>0.44820157383034537</c:v>
                </c:pt>
                <c:pt idx="68">
                  <c:v>0.44818743670949296</c:v>
                </c:pt>
                <c:pt idx="69">
                  <c:v>0.44811997805672982</c:v>
                </c:pt>
                <c:pt idx="70">
                  <c:v>0.44804314587818417</c:v>
                </c:pt>
                <c:pt idx="71">
                  <c:v>0.44794649099757372</c:v>
                </c:pt>
                <c:pt idx="72">
                  <c:v>0.44785121909617703</c:v>
                </c:pt>
                <c:pt idx="73">
                  <c:v>0.44777315760277464</c:v>
                </c:pt>
                <c:pt idx="74">
                  <c:v>0.44772337035107695</c:v>
                </c:pt>
                <c:pt idx="75">
                  <c:v>0.44768695189844632</c:v>
                </c:pt>
                <c:pt idx="76">
                  <c:v>0.44765683368445647</c:v>
                </c:pt>
                <c:pt idx="77">
                  <c:v>0.44763808663289129</c:v>
                </c:pt>
                <c:pt idx="78">
                  <c:v>0.44757785020491148</c:v>
                </c:pt>
                <c:pt idx="79">
                  <c:v>0.44751930408485968</c:v>
                </c:pt>
                <c:pt idx="80">
                  <c:v>0.44750578162143556</c:v>
                </c:pt>
                <c:pt idx="81">
                  <c:v>0.44745415039745284</c:v>
                </c:pt>
                <c:pt idx="82">
                  <c:v>0.44753697548592514</c:v>
                </c:pt>
                <c:pt idx="83">
                  <c:v>0.4478177202663311</c:v>
                </c:pt>
                <c:pt idx="84">
                  <c:v>0.4479341978490064</c:v>
                </c:pt>
                <c:pt idx="85">
                  <c:v>0.44802147920383423</c:v>
                </c:pt>
                <c:pt idx="86">
                  <c:v>0.44806066361489261</c:v>
                </c:pt>
                <c:pt idx="87">
                  <c:v>0.44797707020463484</c:v>
                </c:pt>
                <c:pt idx="88">
                  <c:v>0.44789685741023316</c:v>
                </c:pt>
                <c:pt idx="89">
                  <c:v>0.44783308670204031</c:v>
                </c:pt>
                <c:pt idx="90">
                  <c:v>0.44769171549351616</c:v>
                </c:pt>
                <c:pt idx="91">
                  <c:v>0.44752437500864367</c:v>
                </c:pt>
                <c:pt idx="92">
                  <c:v>0.44748073433122981</c:v>
                </c:pt>
                <c:pt idx="93">
                  <c:v>0.44747136080544719</c:v>
                </c:pt>
                <c:pt idx="94">
                  <c:v>0.44745614803409511</c:v>
                </c:pt>
                <c:pt idx="95">
                  <c:v>0.44740467047446947</c:v>
                </c:pt>
                <c:pt idx="96">
                  <c:v>0.44734950497027359</c:v>
                </c:pt>
                <c:pt idx="97">
                  <c:v>0.44734566336134646</c:v>
                </c:pt>
                <c:pt idx="98">
                  <c:v>0.44730094703343282</c:v>
                </c:pt>
                <c:pt idx="99">
                  <c:v>0.44723656166781156</c:v>
                </c:pt>
                <c:pt idx="100">
                  <c:v>0.44718861838839902</c:v>
                </c:pt>
                <c:pt idx="101">
                  <c:v>0.44714374839612836</c:v>
                </c:pt>
                <c:pt idx="102">
                  <c:v>0.44711301552471006</c:v>
                </c:pt>
                <c:pt idx="103">
                  <c:v>0.44703756632537817</c:v>
                </c:pt>
                <c:pt idx="104">
                  <c:v>0.44689127785742722</c:v>
                </c:pt>
                <c:pt idx="105">
                  <c:v>0.4468854386118577</c:v>
                </c:pt>
                <c:pt idx="106">
                  <c:v>0.44691110055949201</c:v>
                </c:pt>
                <c:pt idx="107">
                  <c:v>0.44686008399293758</c:v>
                </c:pt>
                <c:pt idx="108">
                  <c:v>0.44674268442411985</c:v>
                </c:pt>
                <c:pt idx="109">
                  <c:v>0.44669397282292184</c:v>
                </c:pt>
                <c:pt idx="110">
                  <c:v>0.44668321631792546</c:v>
                </c:pt>
                <c:pt idx="111">
                  <c:v>0.44655659688768212</c:v>
                </c:pt>
                <c:pt idx="112">
                  <c:v>0.44619871260001631</c:v>
                </c:pt>
                <c:pt idx="113">
                  <c:v>0.44600832246158012</c:v>
                </c:pt>
                <c:pt idx="114">
                  <c:v>0.44604550923599623</c:v>
                </c:pt>
                <c:pt idx="115">
                  <c:v>0.44608838159162462</c:v>
                </c:pt>
                <c:pt idx="116">
                  <c:v>0.44604935084492353</c:v>
                </c:pt>
                <c:pt idx="117">
                  <c:v>0.44589461083733245</c:v>
                </c:pt>
                <c:pt idx="118">
                  <c:v>0.44569884244639818</c:v>
                </c:pt>
                <c:pt idx="119">
                  <c:v>0.44552105278524334</c:v>
                </c:pt>
                <c:pt idx="120">
                  <c:v>0.44534541442508796</c:v>
                </c:pt>
                <c:pt idx="121">
                  <c:v>0.44524445694247888</c:v>
                </c:pt>
                <c:pt idx="122">
                  <c:v>0.44519866496406557</c:v>
                </c:pt>
                <c:pt idx="123">
                  <c:v>0.44514396045294108</c:v>
                </c:pt>
                <c:pt idx="124">
                  <c:v>0.44509755381709948</c:v>
                </c:pt>
                <c:pt idx="125">
                  <c:v>0.44504161999111824</c:v>
                </c:pt>
                <c:pt idx="126">
                  <c:v>0.44498952777406436</c:v>
                </c:pt>
                <c:pt idx="127">
                  <c:v>0.44494527243922199</c:v>
                </c:pt>
                <c:pt idx="128">
                  <c:v>0.44491254193116153</c:v>
                </c:pt>
                <c:pt idx="129">
                  <c:v>0.44488365303202837</c:v>
                </c:pt>
                <c:pt idx="130">
                  <c:v>0.44484154899818529</c:v>
                </c:pt>
                <c:pt idx="131">
                  <c:v>0.44478868845934577</c:v>
                </c:pt>
                <c:pt idx="132">
                  <c:v>0.444753652985929</c:v>
                </c:pt>
                <c:pt idx="133">
                  <c:v>0.44472814470265182</c:v>
                </c:pt>
                <c:pt idx="134">
                  <c:v>0.44471078063030051</c:v>
                </c:pt>
                <c:pt idx="135">
                  <c:v>0.44468696265495133</c:v>
                </c:pt>
                <c:pt idx="136">
                  <c:v>0.44466498865188731</c:v>
                </c:pt>
                <c:pt idx="137">
                  <c:v>0.44462088698140201</c:v>
                </c:pt>
                <c:pt idx="138">
                  <c:v>0.44457724630398815</c:v>
                </c:pt>
                <c:pt idx="139">
                  <c:v>0.44454405480285641</c:v>
                </c:pt>
                <c:pt idx="140">
                  <c:v>0.44456065055342225</c:v>
                </c:pt>
                <c:pt idx="141">
                  <c:v>0.44453591059193048</c:v>
                </c:pt>
                <c:pt idx="142">
                  <c:v>0.44451578056115143</c:v>
                </c:pt>
                <c:pt idx="143">
                  <c:v>0.44448228173130561</c:v>
                </c:pt>
                <c:pt idx="144">
                  <c:v>0.44443771906774909</c:v>
                </c:pt>
                <c:pt idx="145">
                  <c:v>0.44441635972211346</c:v>
                </c:pt>
                <c:pt idx="146">
                  <c:v>0.44439638335569154</c:v>
                </c:pt>
                <c:pt idx="147">
                  <c:v>0.44437625332491265</c:v>
                </c:pt>
                <c:pt idx="148">
                  <c:v>0.44435182069213508</c:v>
                </c:pt>
                <c:pt idx="149">
                  <c:v>0.44432247079993059</c:v>
                </c:pt>
                <c:pt idx="150">
                  <c:v>0.44429235258594074</c:v>
                </c:pt>
                <c:pt idx="151">
                  <c:v>0.44425578046895287</c:v>
                </c:pt>
                <c:pt idx="152">
                  <c:v>0.44422182064603571</c:v>
                </c:pt>
                <c:pt idx="153">
                  <c:v>0.44419354640433095</c:v>
                </c:pt>
                <c:pt idx="154">
                  <c:v>0.44416435017648354</c:v>
                </c:pt>
                <c:pt idx="155">
                  <c:v>0.44412747073078163</c:v>
                </c:pt>
                <c:pt idx="156">
                  <c:v>0.44409581587322083</c:v>
                </c:pt>
                <c:pt idx="157">
                  <c:v>0.44405739978394793</c:v>
                </c:pt>
                <c:pt idx="158">
                  <c:v>0.44403711608881191</c:v>
                </c:pt>
                <c:pt idx="159">
                  <c:v>0.44400161962232382</c:v>
                </c:pt>
                <c:pt idx="160">
                  <c:v>0.44398072126975935</c:v>
                </c:pt>
                <c:pt idx="161">
                  <c:v>0.44394768343298469</c:v>
                </c:pt>
                <c:pt idx="162">
                  <c:v>0.44390081580407181</c:v>
                </c:pt>
                <c:pt idx="163">
                  <c:v>0.44386823896036842</c:v>
                </c:pt>
                <c:pt idx="164">
                  <c:v>0.44384672595037572</c:v>
                </c:pt>
                <c:pt idx="165">
                  <c:v>0.44382321530374069</c:v>
                </c:pt>
                <c:pt idx="166">
                  <c:v>0.44381184414131586</c:v>
                </c:pt>
                <c:pt idx="167">
                  <c:v>0.44377235240154345</c:v>
                </c:pt>
                <c:pt idx="168">
                  <c:v>0.4437471514469804</c:v>
                </c:pt>
                <c:pt idx="169">
                  <c:v>0.44372563843698765</c:v>
                </c:pt>
                <c:pt idx="170">
                  <c:v>0.44370013015371046</c:v>
                </c:pt>
                <c:pt idx="171">
                  <c:v>0.44367277789814819</c:v>
                </c:pt>
                <c:pt idx="172">
                  <c:v>0.44361961003059452</c:v>
                </c:pt>
                <c:pt idx="173">
                  <c:v>0.44359210411067518</c:v>
                </c:pt>
                <c:pt idx="174">
                  <c:v>0.44356736414918352</c:v>
                </c:pt>
                <c:pt idx="175">
                  <c:v>0.44353586295597985</c:v>
                </c:pt>
                <c:pt idx="176">
                  <c:v>0.44351081566577394</c:v>
                </c:pt>
                <c:pt idx="177">
                  <c:v>0.44347992912999856</c:v>
                </c:pt>
                <c:pt idx="178">
                  <c:v>0.44344704495758103</c:v>
                </c:pt>
                <c:pt idx="179">
                  <c:v>0.44342307331787478</c:v>
                </c:pt>
                <c:pt idx="180">
                  <c:v>0.4434014066435249</c:v>
                </c:pt>
                <c:pt idx="181">
                  <c:v>0.44337174942260626</c:v>
                </c:pt>
                <c:pt idx="182">
                  <c:v>0.44334593381061493</c:v>
                </c:pt>
                <c:pt idx="183">
                  <c:v>0.44331888888376675</c:v>
                </c:pt>
                <c:pt idx="184">
                  <c:v>0.4432913829638474</c:v>
                </c:pt>
                <c:pt idx="185">
                  <c:v>0.44326295505778557</c:v>
                </c:pt>
                <c:pt idx="186">
                  <c:v>0.44323391249429517</c:v>
                </c:pt>
                <c:pt idx="187">
                  <c:v>0.44320471626644792</c:v>
                </c:pt>
                <c:pt idx="188">
                  <c:v>0.44316998812174524</c:v>
                </c:pt>
                <c:pt idx="189">
                  <c:v>0.44314770678996701</c:v>
                </c:pt>
                <c:pt idx="190">
                  <c:v>0.44310575642048106</c:v>
                </c:pt>
                <c:pt idx="191">
                  <c:v>0.44307364056984899</c:v>
                </c:pt>
                <c:pt idx="192">
                  <c:v>0.4430436760202161</c:v>
                </c:pt>
                <c:pt idx="193">
                  <c:v>0.44301755307951057</c:v>
                </c:pt>
                <c:pt idx="194">
                  <c:v>0.4429934277754472</c:v>
                </c:pt>
                <c:pt idx="195">
                  <c:v>0.44294994076239036</c:v>
                </c:pt>
                <c:pt idx="196">
                  <c:v>0.44292151285632847</c:v>
                </c:pt>
                <c:pt idx="197">
                  <c:v>0.44289308495026652</c:v>
                </c:pt>
                <c:pt idx="198">
                  <c:v>0.44286173742141993</c:v>
                </c:pt>
                <c:pt idx="199">
                  <c:v>0.44282731660543151</c:v>
                </c:pt>
                <c:pt idx="200">
                  <c:v>0.4427889005161586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87-488E-998D-D440F88B3C04}"/>
            </c:ext>
          </c:extLst>
        </c:ser>
        <c:ser>
          <c:idx val="6"/>
          <c:order val="2"/>
          <c:tx>
            <c:v>PVDF/BTO/1wt.%MWCNT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'All dielectric constant &amp; loss'!$B$25:$B$225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loss'!$X$25:$X$225</c:f>
              <c:numCache>
                <c:formatCode>0.00E+00</c:formatCode>
                <c:ptCount val="201"/>
                <c:pt idx="0">
                  <c:v>0.44004062885601503</c:v>
                </c:pt>
                <c:pt idx="1">
                  <c:v>0.43833756678637126</c:v>
                </c:pt>
                <c:pt idx="2">
                  <c:v>0.43773612449271548</c:v>
                </c:pt>
                <c:pt idx="3">
                  <c:v>0.4373536539079152</c:v>
                </c:pt>
                <c:pt idx="4">
                  <c:v>0.43704417389273303</c:v>
                </c:pt>
                <c:pt idx="5">
                  <c:v>0.43674883099840345</c:v>
                </c:pt>
                <c:pt idx="6">
                  <c:v>0.43650849994391255</c:v>
                </c:pt>
                <c:pt idx="7">
                  <c:v>0.43630627764998031</c:v>
                </c:pt>
                <c:pt idx="8">
                  <c:v>0.4360536534469221</c:v>
                </c:pt>
                <c:pt idx="9">
                  <c:v>0.43588262501747932</c:v>
                </c:pt>
                <c:pt idx="10">
                  <c:v>0.43571697484053484</c:v>
                </c:pt>
                <c:pt idx="11">
                  <c:v>0.43559358236179047</c:v>
                </c:pt>
                <c:pt idx="12">
                  <c:v>0.43542823951356008</c:v>
                </c:pt>
                <c:pt idx="13">
                  <c:v>0.43525167916726215</c:v>
                </c:pt>
                <c:pt idx="14">
                  <c:v>0.43510554436366822</c:v>
                </c:pt>
                <c:pt idx="15">
                  <c:v>0.43498322753542346</c:v>
                </c:pt>
                <c:pt idx="16">
                  <c:v>0.43486383032996351</c:v>
                </c:pt>
                <c:pt idx="17">
                  <c:v>0.43473797922150564</c:v>
                </c:pt>
                <c:pt idx="18">
                  <c:v>0.43463548509532568</c:v>
                </c:pt>
                <c:pt idx="19">
                  <c:v>0.43457617065348847</c:v>
                </c:pt>
                <c:pt idx="20">
                  <c:v>0.43440729352504498</c:v>
                </c:pt>
                <c:pt idx="21">
                  <c:v>0.434304645734508</c:v>
                </c:pt>
                <c:pt idx="22">
                  <c:v>0.43420537855982688</c:v>
                </c:pt>
                <c:pt idx="23">
                  <c:v>0.43408813265536617</c:v>
                </c:pt>
                <c:pt idx="24">
                  <c:v>0.4339836408925441</c:v>
                </c:pt>
                <c:pt idx="25">
                  <c:v>0.43387054392572483</c:v>
                </c:pt>
                <c:pt idx="26">
                  <c:v>0.43376543750547442</c:v>
                </c:pt>
                <c:pt idx="27">
                  <c:v>0.43364557930694309</c:v>
                </c:pt>
                <c:pt idx="28">
                  <c:v>0.43361730506523821</c:v>
                </c:pt>
                <c:pt idx="29">
                  <c:v>0.43352449179355501</c:v>
                </c:pt>
                <c:pt idx="30">
                  <c:v>0.43342829790601584</c:v>
                </c:pt>
                <c:pt idx="31">
                  <c:v>0.43333348699769048</c:v>
                </c:pt>
                <c:pt idx="32">
                  <c:v>0.43324635930721972</c:v>
                </c:pt>
                <c:pt idx="33">
                  <c:v>0.43315354603553652</c:v>
                </c:pt>
                <c:pt idx="34">
                  <c:v>0.43306104009256741</c:v>
                </c:pt>
                <c:pt idx="35">
                  <c:v>0.43296423154759989</c:v>
                </c:pt>
                <c:pt idx="36">
                  <c:v>0.43286527170163303</c:v>
                </c:pt>
                <c:pt idx="37">
                  <c:v>0.43279335678251424</c:v>
                </c:pt>
                <c:pt idx="38">
                  <c:v>0.43268932601276344</c:v>
                </c:pt>
                <c:pt idx="39">
                  <c:v>0.43260726924607651</c:v>
                </c:pt>
                <c:pt idx="40">
                  <c:v>0.43258713921529768</c:v>
                </c:pt>
                <c:pt idx="41">
                  <c:v>0.43250462145553958</c:v>
                </c:pt>
                <c:pt idx="42">
                  <c:v>0.43240166633628835</c:v>
                </c:pt>
                <c:pt idx="43">
                  <c:v>0.43230347481210696</c:v>
                </c:pt>
                <c:pt idx="44">
                  <c:v>0.43222894759891767</c:v>
                </c:pt>
                <c:pt idx="45">
                  <c:v>0.43215319107087158</c:v>
                </c:pt>
                <c:pt idx="46">
                  <c:v>0.4320785101933251</c:v>
                </c:pt>
                <c:pt idx="47">
                  <c:v>0.4319999877068515</c:v>
                </c:pt>
                <c:pt idx="48">
                  <c:v>0.43191700895402207</c:v>
                </c:pt>
                <c:pt idx="49">
                  <c:v>0.43184939663690192</c:v>
                </c:pt>
                <c:pt idx="50">
                  <c:v>0.43176872284942902</c:v>
                </c:pt>
                <c:pt idx="51">
                  <c:v>0.43168851005502729</c:v>
                </c:pt>
                <c:pt idx="52">
                  <c:v>0.43161767078640811</c:v>
                </c:pt>
                <c:pt idx="53">
                  <c:v>0.4315426825801475</c:v>
                </c:pt>
                <c:pt idx="54">
                  <c:v>0.43147384094817065</c:v>
                </c:pt>
                <c:pt idx="55">
                  <c:v>0.43140653595976458</c:v>
                </c:pt>
                <c:pt idx="56">
                  <c:v>0.43133815532085884</c:v>
                </c:pt>
                <c:pt idx="57">
                  <c:v>0.43124780067888918</c:v>
                </c:pt>
                <c:pt idx="58">
                  <c:v>0.43117450278055663</c:v>
                </c:pt>
                <c:pt idx="59">
                  <c:v>0.43110489282679421</c:v>
                </c:pt>
                <c:pt idx="60">
                  <c:v>0.43107661858508939</c:v>
                </c:pt>
                <c:pt idx="61">
                  <c:v>0.43101745780760914</c:v>
                </c:pt>
                <c:pt idx="62">
                  <c:v>0.43095061381227434</c:v>
                </c:pt>
                <c:pt idx="63">
                  <c:v>0.43088392348129678</c:v>
                </c:pt>
                <c:pt idx="64">
                  <c:v>0.43081969178003265</c:v>
                </c:pt>
                <c:pt idx="65">
                  <c:v>0.43075546007876836</c:v>
                </c:pt>
                <c:pt idx="66">
                  <c:v>0.43069276502107512</c:v>
                </c:pt>
                <c:pt idx="67">
                  <c:v>0.43063053095645309</c:v>
                </c:pt>
                <c:pt idx="68">
                  <c:v>0.4305755191166144</c:v>
                </c:pt>
                <c:pt idx="69">
                  <c:v>0.4305054481697807</c:v>
                </c:pt>
                <c:pt idx="70">
                  <c:v>0.43044828502894272</c:v>
                </c:pt>
                <c:pt idx="71">
                  <c:v>0.43039066089503353</c:v>
                </c:pt>
                <c:pt idx="72">
                  <c:v>0.43032704385119758</c:v>
                </c:pt>
                <c:pt idx="73">
                  <c:v>0.43027034170343087</c:v>
                </c:pt>
                <c:pt idx="74">
                  <c:v>0.43020964428237979</c:v>
                </c:pt>
                <c:pt idx="75">
                  <c:v>0.43014556624547268</c:v>
                </c:pt>
                <c:pt idx="76">
                  <c:v>0.43008071988678015</c:v>
                </c:pt>
                <c:pt idx="77">
                  <c:v>0.43002094445187161</c:v>
                </c:pt>
                <c:pt idx="78">
                  <c:v>0.42996193733874855</c:v>
                </c:pt>
                <c:pt idx="79">
                  <c:v>0.42990400587612504</c:v>
                </c:pt>
                <c:pt idx="80">
                  <c:v>0.42988249286613223</c:v>
                </c:pt>
                <c:pt idx="81">
                  <c:v>0.42981979780843899</c:v>
                </c:pt>
                <c:pt idx="82">
                  <c:v>0.42976125168838719</c:v>
                </c:pt>
                <c:pt idx="83">
                  <c:v>0.42969271738512438</c:v>
                </c:pt>
                <c:pt idx="84">
                  <c:v>0.42961849750064929</c:v>
                </c:pt>
                <c:pt idx="85">
                  <c:v>0.42955764641524108</c:v>
                </c:pt>
                <c:pt idx="86">
                  <c:v>0.42949418303576226</c:v>
                </c:pt>
                <c:pt idx="87">
                  <c:v>0.42943486859392505</c:v>
                </c:pt>
                <c:pt idx="88">
                  <c:v>0.42937832011051547</c:v>
                </c:pt>
                <c:pt idx="89">
                  <c:v>0.42931992765482074</c:v>
                </c:pt>
                <c:pt idx="90">
                  <c:v>0.42926752810905255</c:v>
                </c:pt>
                <c:pt idx="91">
                  <c:v>0.42921236260485673</c:v>
                </c:pt>
                <c:pt idx="92">
                  <c:v>0.42915888740858898</c:v>
                </c:pt>
                <c:pt idx="93">
                  <c:v>0.42910157060339388</c:v>
                </c:pt>
                <c:pt idx="94">
                  <c:v>0.42904655876355519</c:v>
                </c:pt>
                <c:pt idx="95">
                  <c:v>0.42898540034943278</c:v>
                </c:pt>
                <c:pt idx="96">
                  <c:v>0.42893607409080642</c:v>
                </c:pt>
                <c:pt idx="97">
                  <c:v>0.42888167690839613</c:v>
                </c:pt>
                <c:pt idx="98">
                  <c:v>0.42882144048041632</c:v>
                </c:pt>
                <c:pt idx="99">
                  <c:v>0.42877457285150344</c:v>
                </c:pt>
                <c:pt idx="100">
                  <c:v>0.42876181870986485</c:v>
                </c:pt>
                <c:pt idx="101">
                  <c:v>0.42871618039580867</c:v>
                </c:pt>
                <c:pt idx="102">
                  <c:v>0.42866869810946734</c:v>
                </c:pt>
                <c:pt idx="103">
                  <c:v>0.42862029383698363</c:v>
                </c:pt>
                <c:pt idx="104">
                  <c:v>0.42857573117342712</c:v>
                </c:pt>
                <c:pt idx="105">
                  <c:v>0.4285327051534415</c:v>
                </c:pt>
                <c:pt idx="106">
                  <c:v>0.42848568386017161</c:v>
                </c:pt>
                <c:pt idx="107">
                  <c:v>0.42844035287482962</c:v>
                </c:pt>
                <c:pt idx="108">
                  <c:v>0.42839563654691604</c:v>
                </c:pt>
                <c:pt idx="109">
                  <c:v>0.42834784693186062</c:v>
                </c:pt>
                <c:pt idx="110">
                  <c:v>0.42830589656237478</c:v>
                </c:pt>
                <c:pt idx="111">
                  <c:v>0.42826409985724584</c:v>
                </c:pt>
                <c:pt idx="112">
                  <c:v>0.42821615657783324</c:v>
                </c:pt>
                <c:pt idx="113">
                  <c:v>0.42816959627763473</c:v>
                </c:pt>
                <c:pt idx="114">
                  <c:v>0.42812564827150651</c:v>
                </c:pt>
                <c:pt idx="115">
                  <c:v>0.42807770499209397</c:v>
                </c:pt>
                <c:pt idx="116">
                  <c:v>0.42803314232853751</c:v>
                </c:pt>
                <c:pt idx="117">
                  <c:v>0.42798873332933818</c:v>
                </c:pt>
                <c:pt idx="118">
                  <c:v>0.42794801227470886</c:v>
                </c:pt>
                <c:pt idx="119">
                  <c:v>0.42790360327550941</c:v>
                </c:pt>
                <c:pt idx="120">
                  <c:v>0.42785827229016754</c:v>
                </c:pt>
                <c:pt idx="121">
                  <c:v>0.42781601459196733</c:v>
                </c:pt>
                <c:pt idx="122">
                  <c:v>0.42777237391455347</c:v>
                </c:pt>
                <c:pt idx="123">
                  <c:v>0.42772735025792563</c:v>
                </c:pt>
                <c:pt idx="124">
                  <c:v>0.42769031714786665</c:v>
                </c:pt>
                <c:pt idx="125">
                  <c:v>0.4276483667783807</c:v>
                </c:pt>
                <c:pt idx="126">
                  <c:v>0.42760657007325176</c:v>
                </c:pt>
                <c:pt idx="127">
                  <c:v>0.42756461970376586</c:v>
                </c:pt>
                <c:pt idx="128">
                  <c:v>0.42752251566992283</c:v>
                </c:pt>
                <c:pt idx="129">
                  <c:v>0.42748148728657942</c:v>
                </c:pt>
                <c:pt idx="130">
                  <c:v>0.42744030523887899</c:v>
                </c:pt>
                <c:pt idx="131">
                  <c:v>0.42739927685553558</c:v>
                </c:pt>
                <c:pt idx="132">
                  <c:v>0.42735363854147951</c:v>
                </c:pt>
                <c:pt idx="133">
                  <c:v>0.42731291748685019</c:v>
                </c:pt>
                <c:pt idx="134">
                  <c:v>0.42727296475400645</c:v>
                </c:pt>
                <c:pt idx="135">
                  <c:v>0.42723178270630602</c:v>
                </c:pt>
                <c:pt idx="136">
                  <c:v>0.42718891035067746</c:v>
                </c:pt>
                <c:pt idx="137">
                  <c:v>0.42714327203662128</c:v>
                </c:pt>
                <c:pt idx="138">
                  <c:v>0.42710116800277836</c:v>
                </c:pt>
                <c:pt idx="139">
                  <c:v>0.42706275191350546</c:v>
                </c:pt>
                <c:pt idx="140">
                  <c:v>0.42706382756400513</c:v>
                </c:pt>
                <c:pt idx="141">
                  <c:v>0.42703278736387262</c:v>
                </c:pt>
                <c:pt idx="142">
                  <c:v>0.42699898120531249</c:v>
                </c:pt>
                <c:pt idx="143">
                  <c:v>0.42696425306060987</c:v>
                </c:pt>
                <c:pt idx="144">
                  <c:v>0.42692522231390861</c:v>
                </c:pt>
                <c:pt idx="145">
                  <c:v>0.42688742088206416</c:v>
                </c:pt>
                <c:pt idx="146">
                  <c:v>0.42686022229085913</c:v>
                </c:pt>
                <c:pt idx="147">
                  <c:v>0.42682779911151275</c:v>
                </c:pt>
                <c:pt idx="148">
                  <c:v>0.42678999767966824</c:v>
                </c:pt>
                <c:pt idx="149">
                  <c:v>0.42675695984289369</c:v>
                </c:pt>
                <c:pt idx="150">
                  <c:v>0.42672100238333421</c:v>
                </c:pt>
                <c:pt idx="151">
                  <c:v>0.42669580142877123</c:v>
                </c:pt>
                <c:pt idx="152">
                  <c:v>0.42666030496228313</c:v>
                </c:pt>
                <c:pt idx="153">
                  <c:v>0.42662865010472228</c:v>
                </c:pt>
                <c:pt idx="154">
                  <c:v>0.42659899288380365</c:v>
                </c:pt>
                <c:pt idx="155">
                  <c:v>0.42656841367674248</c:v>
                </c:pt>
                <c:pt idx="156">
                  <c:v>0.42653045858054089</c:v>
                </c:pt>
                <c:pt idx="157">
                  <c:v>0.42650003303783679</c:v>
                </c:pt>
                <c:pt idx="158">
                  <c:v>0.42646699520106213</c:v>
                </c:pt>
                <c:pt idx="159">
                  <c:v>0.42642934743357475</c:v>
                </c:pt>
                <c:pt idx="160">
                  <c:v>0.4263983072334423</c:v>
                </c:pt>
                <c:pt idx="161">
                  <c:v>0.4263634254243826</c:v>
                </c:pt>
                <c:pt idx="162">
                  <c:v>0.42633499751832071</c:v>
                </c:pt>
                <c:pt idx="163">
                  <c:v>0.42629489112111979</c:v>
                </c:pt>
                <c:pt idx="164">
                  <c:v>0.42626692420812917</c:v>
                </c:pt>
                <c:pt idx="165">
                  <c:v>0.42622174688714426</c:v>
                </c:pt>
                <c:pt idx="166">
                  <c:v>0.4261954702820816</c:v>
                </c:pt>
                <c:pt idx="167">
                  <c:v>0.42616996199880453</c:v>
                </c:pt>
                <c:pt idx="168">
                  <c:v>0.42612877995110404</c:v>
                </c:pt>
                <c:pt idx="169">
                  <c:v>0.42609743242225734</c:v>
                </c:pt>
                <c:pt idx="170">
                  <c:v>0.42606516290726826</c:v>
                </c:pt>
                <c:pt idx="171">
                  <c:v>0.42603258606356476</c:v>
                </c:pt>
                <c:pt idx="172">
                  <c:v>0.42599632127529125</c:v>
                </c:pt>
                <c:pt idx="173">
                  <c:v>0.42595974915830354</c:v>
                </c:pt>
                <c:pt idx="174">
                  <c:v>0.42593347255324093</c:v>
                </c:pt>
                <c:pt idx="175">
                  <c:v>0.42589690043625311</c:v>
                </c:pt>
                <c:pt idx="176">
                  <c:v>0.42586017465490827</c:v>
                </c:pt>
                <c:pt idx="177">
                  <c:v>0.42583067109834666</c:v>
                </c:pt>
                <c:pt idx="178">
                  <c:v>0.42579502096750149</c:v>
                </c:pt>
                <c:pt idx="179">
                  <c:v>0.42576474908915457</c:v>
                </c:pt>
                <c:pt idx="180">
                  <c:v>0.42572955995138057</c:v>
                </c:pt>
                <c:pt idx="181">
                  <c:v>0.42569759776510557</c:v>
                </c:pt>
                <c:pt idx="182">
                  <c:v>0.42566256229168881</c:v>
                </c:pt>
                <c:pt idx="183">
                  <c:v>0.42562967811927122</c:v>
                </c:pt>
                <c:pt idx="184">
                  <c:v>0.42557389795764711</c:v>
                </c:pt>
                <c:pt idx="185">
                  <c:v>0.42552887430101927</c:v>
                </c:pt>
                <c:pt idx="186">
                  <c:v>0.42548769225331878</c:v>
                </c:pt>
                <c:pt idx="187">
                  <c:v>0.42544896883533173</c:v>
                </c:pt>
                <c:pt idx="188">
                  <c:v>0.42541454801934331</c:v>
                </c:pt>
                <c:pt idx="189">
                  <c:v>0.42537720758057007</c:v>
                </c:pt>
                <c:pt idx="190">
                  <c:v>0.42534463073686674</c:v>
                </c:pt>
                <c:pt idx="191">
                  <c:v>0.42530145105252404</c:v>
                </c:pt>
                <c:pt idx="192">
                  <c:v>0.42526902787317777</c:v>
                </c:pt>
                <c:pt idx="193">
                  <c:v>0.4252310727769763</c:v>
                </c:pt>
                <c:pt idx="194">
                  <c:v>0.42519926425505827</c:v>
                </c:pt>
                <c:pt idx="195">
                  <c:v>0.4251559309063585</c:v>
                </c:pt>
                <c:pt idx="196">
                  <c:v>0.42512427604879771</c:v>
                </c:pt>
                <c:pt idx="197">
                  <c:v>0.42509123821202305</c:v>
                </c:pt>
                <c:pt idx="198">
                  <c:v>0.42505712472474882</c:v>
                </c:pt>
                <c:pt idx="199">
                  <c:v>0.42502424055233129</c:v>
                </c:pt>
                <c:pt idx="200">
                  <c:v>0.42498889775020016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187-488E-998D-D440F88B3C04}"/>
            </c:ext>
          </c:extLst>
        </c:ser>
        <c:ser>
          <c:idx val="1"/>
          <c:order val="3"/>
          <c:tx>
            <c:v>PVDF/BTO/2wt.%MWCNT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'All dielectric constant &amp; loss'!$B$25:$B$225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loss'!$AF$25:$AF$225</c:f>
              <c:numCache>
                <c:formatCode>0.00E+00</c:formatCode>
                <c:ptCount val="201"/>
                <c:pt idx="0">
                  <c:v>0.68624811569082134</c:v>
                </c:pt>
                <c:pt idx="1">
                  <c:v>0.68282140052768348</c:v>
                </c:pt>
                <c:pt idx="2">
                  <c:v>0.68164740483950526</c:v>
                </c:pt>
                <c:pt idx="3">
                  <c:v>0.68071619883553158</c:v>
                </c:pt>
                <c:pt idx="4">
                  <c:v>0.68004622223861311</c:v>
                </c:pt>
                <c:pt idx="5">
                  <c:v>0.67950993363236412</c:v>
                </c:pt>
                <c:pt idx="6">
                  <c:v>0.67906584364037004</c:v>
                </c:pt>
                <c:pt idx="7">
                  <c:v>0.6786463399455106</c:v>
                </c:pt>
                <c:pt idx="8">
                  <c:v>0.67820378659708747</c:v>
                </c:pt>
                <c:pt idx="9">
                  <c:v>0.67785650515006102</c:v>
                </c:pt>
                <c:pt idx="10">
                  <c:v>0.67754302986159454</c:v>
                </c:pt>
                <c:pt idx="11">
                  <c:v>0.6772695073059718</c:v>
                </c:pt>
                <c:pt idx="12">
                  <c:v>0.67695142208679282</c:v>
                </c:pt>
                <c:pt idx="13">
                  <c:v>0.67664716665975189</c:v>
                </c:pt>
                <c:pt idx="14">
                  <c:v>0.67637671739127092</c:v>
                </c:pt>
                <c:pt idx="15">
                  <c:v>0.67613853763777942</c:v>
                </c:pt>
                <c:pt idx="16">
                  <c:v>0.67590343117142948</c:v>
                </c:pt>
                <c:pt idx="17">
                  <c:v>0.67567600792293425</c:v>
                </c:pt>
                <c:pt idx="18">
                  <c:v>0.67547317097157378</c:v>
                </c:pt>
                <c:pt idx="19">
                  <c:v>0.67530414017877316</c:v>
                </c:pt>
                <c:pt idx="20">
                  <c:v>0.67503676419743419</c:v>
                </c:pt>
                <c:pt idx="21">
                  <c:v>0.67483546388964433</c:v>
                </c:pt>
                <c:pt idx="22">
                  <c:v>0.67462648036400019</c:v>
                </c:pt>
                <c:pt idx="23">
                  <c:v>0.67444054649191965</c:v>
                </c:pt>
                <c:pt idx="24">
                  <c:v>0.67421619653056608</c:v>
                </c:pt>
                <c:pt idx="25">
                  <c:v>0.67401796950991832</c:v>
                </c:pt>
                <c:pt idx="26">
                  <c:v>0.67382435241998329</c:v>
                </c:pt>
                <c:pt idx="27">
                  <c:v>0.67360768567648444</c:v>
                </c:pt>
                <c:pt idx="28">
                  <c:v>0.67349090076509488</c:v>
                </c:pt>
                <c:pt idx="29">
                  <c:v>0.67330343024944339</c:v>
                </c:pt>
                <c:pt idx="30">
                  <c:v>0.67312978952593017</c:v>
                </c:pt>
                <c:pt idx="31">
                  <c:v>0.672954612158846</c:v>
                </c:pt>
                <c:pt idx="32">
                  <c:v>0.67277175157390712</c:v>
                </c:pt>
                <c:pt idx="33">
                  <c:v>0.67261655057324499</c:v>
                </c:pt>
                <c:pt idx="34">
                  <c:v>0.67243215334473527</c:v>
                </c:pt>
                <c:pt idx="35">
                  <c:v>0.67226158590836382</c:v>
                </c:pt>
                <c:pt idx="36">
                  <c:v>0.67210177497698886</c:v>
                </c:pt>
                <c:pt idx="37">
                  <c:v>0.67193581747133024</c:v>
                </c:pt>
                <c:pt idx="38">
                  <c:v>0.67176678667852963</c:v>
                </c:pt>
                <c:pt idx="39">
                  <c:v>0.67160697574715467</c:v>
                </c:pt>
                <c:pt idx="40">
                  <c:v>0.67153475349932157</c:v>
                </c:pt>
                <c:pt idx="41">
                  <c:v>0.67140413879579408</c:v>
                </c:pt>
                <c:pt idx="42">
                  <c:v>0.67124740115156079</c:v>
                </c:pt>
                <c:pt idx="43">
                  <c:v>0.6711106398737493</c:v>
                </c:pt>
                <c:pt idx="44">
                  <c:v>0.67096312209094178</c:v>
                </c:pt>
                <c:pt idx="45">
                  <c:v>0.67083711731812679</c:v>
                </c:pt>
                <c:pt idx="46">
                  <c:v>0.6707034293274573</c:v>
                </c:pt>
                <c:pt idx="47">
                  <c:v>0.6705620581189331</c:v>
                </c:pt>
                <c:pt idx="48">
                  <c:v>0.6704237601975509</c:v>
                </c:pt>
                <c:pt idx="49">
                  <c:v>0.67029929206830685</c:v>
                </c:pt>
                <c:pt idx="50">
                  <c:v>0.67016560407763748</c:v>
                </c:pt>
                <c:pt idx="51" formatCode="0.00">
                  <c:v>0.67003345273053894</c:v>
                </c:pt>
                <c:pt idx="52" formatCode="0.00">
                  <c:v>0.66989515480915651</c:v>
                </c:pt>
                <c:pt idx="53" formatCode="0.00">
                  <c:v>0.6697676133927708</c:v>
                </c:pt>
                <c:pt idx="54" formatCode="0.00">
                  <c:v>0.66964775519423947</c:v>
                </c:pt>
                <c:pt idx="55" formatCode="0.00">
                  <c:v>0.66951867713428281</c:v>
                </c:pt>
                <c:pt idx="56" formatCode="0.00">
                  <c:v>0.66938191585647155</c:v>
                </c:pt>
                <c:pt idx="57" formatCode="0.00">
                  <c:v>0.669265130945082</c:v>
                </c:pt>
                <c:pt idx="58" formatCode="0.00">
                  <c:v>0.66913758952869618</c:v>
                </c:pt>
                <c:pt idx="59" formatCode="0.00">
                  <c:v>0.66901312139945213</c:v>
                </c:pt>
                <c:pt idx="60" formatCode="0.00">
                  <c:v>0.66896241216161201</c:v>
                </c:pt>
                <c:pt idx="61" formatCode="0.00">
                  <c:v>0.66885331046807728</c:v>
                </c:pt>
                <c:pt idx="62" formatCode="0.00">
                  <c:v>0.6687472820616841</c:v>
                </c:pt>
                <c:pt idx="63" formatCode="0.00">
                  <c:v>0.66863971701172009</c:v>
                </c:pt>
                <c:pt idx="64" formatCode="0.00">
                  <c:v>0.66853368860532714</c:v>
                </c:pt>
                <c:pt idx="65" formatCode="0.00">
                  <c:v>0.66842612355536313</c:v>
                </c:pt>
                <c:pt idx="66" formatCode="0.00">
                  <c:v>0.66831702186182818</c:v>
                </c:pt>
                <c:pt idx="67" formatCode="0.00">
                  <c:v>0.66820638352472228</c:v>
                </c:pt>
                <c:pt idx="68" formatCode="0.00">
                  <c:v>0.66810496504904204</c:v>
                </c:pt>
                <c:pt idx="69" formatCode="0.00">
                  <c:v>0.6680035465733617</c:v>
                </c:pt>
                <c:pt idx="70" formatCode="0.00">
                  <c:v>0.66790212809768146</c:v>
                </c:pt>
                <c:pt idx="71" formatCode="0.00">
                  <c:v>0.66779148976057556</c:v>
                </c:pt>
                <c:pt idx="72" formatCode="0.00">
                  <c:v>0.66769007128489533</c:v>
                </c:pt>
                <c:pt idx="73" formatCode="0.00">
                  <c:v>0.6675855795220732</c:v>
                </c:pt>
                <c:pt idx="74" formatCode="0.00">
                  <c:v>0.66748416104639285</c:v>
                </c:pt>
                <c:pt idx="75" formatCode="0.00">
                  <c:v>0.66737966928357073</c:v>
                </c:pt>
                <c:pt idx="76" formatCode="0.00">
                  <c:v>0.66727364087717755</c:v>
                </c:pt>
                <c:pt idx="77" formatCode="0.00">
                  <c:v>0.66717683233221015</c:v>
                </c:pt>
                <c:pt idx="78" formatCode="0.00">
                  <c:v>0.66707234056938802</c:v>
                </c:pt>
                <c:pt idx="79" formatCode="0.00">
                  <c:v>0.66697092209370756</c:v>
                </c:pt>
                <c:pt idx="80" formatCode="0.00">
                  <c:v>0.66693096936086382</c:v>
                </c:pt>
                <c:pt idx="81" formatCode="0.00">
                  <c:v>0.66683877074660902</c:v>
                </c:pt>
                <c:pt idx="82" formatCode="0.00">
                  <c:v>0.66674196220164161</c:v>
                </c:pt>
                <c:pt idx="83" formatCode="0.00">
                  <c:v>0.66664054372596138</c:v>
                </c:pt>
                <c:pt idx="84" formatCode="0.00">
                  <c:v>0.66654373518099364</c:v>
                </c:pt>
                <c:pt idx="85" formatCode="0.00">
                  <c:v>0.66644846327959706</c:v>
                </c:pt>
                <c:pt idx="86" formatCode="0.00">
                  <c:v>0.66635165473462932</c:v>
                </c:pt>
                <c:pt idx="87" formatCode="0.00">
                  <c:v>0.66625945612037452</c:v>
                </c:pt>
                <c:pt idx="88" formatCode="0.00">
                  <c:v>0.66616264757540689</c:v>
                </c:pt>
                <c:pt idx="89" formatCode="0.00">
                  <c:v>0.66606891231758136</c:v>
                </c:pt>
                <c:pt idx="90" formatCode="0.00">
                  <c:v>0.66598286027761011</c:v>
                </c:pt>
                <c:pt idx="91" formatCode="0.00">
                  <c:v>0.66588605173264259</c:v>
                </c:pt>
                <c:pt idx="92" formatCode="0.00">
                  <c:v>0.66579231647481674</c:v>
                </c:pt>
                <c:pt idx="93" formatCode="0.00">
                  <c:v>0.66569858121699099</c:v>
                </c:pt>
                <c:pt idx="94" formatCode="0.00">
                  <c:v>0.6656063826027363</c:v>
                </c:pt>
                <c:pt idx="95" formatCode="0.00">
                  <c:v>0.66550803741419784</c:v>
                </c:pt>
                <c:pt idx="96" formatCode="0.00">
                  <c:v>0.66541737544351376</c:v>
                </c:pt>
                <c:pt idx="97" formatCode="0.00">
                  <c:v>0.66533132340354273</c:v>
                </c:pt>
                <c:pt idx="98" formatCode="0.00">
                  <c:v>0.66523912478928793</c:v>
                </c:pt>
                <c:pt idx="99" formatCode="0.00">
                  <c:v>0.66514999946217479</c:v>
                </c:pt>
                <c:pt idx="100" formatCode="0.00">
                  <c:v>0.6651269498086112</c:v>
                </c:pt>
                <c:pt idx="101" formatCode="0.00">
                  <c:v>0.66505319091720716</c:v>
                </c:pt>
                <c:pt idx="102" formatCode="0.00">
                  <c:v>0.66496867552080696</c:v>
                </c:pt>
                <c:pt idx="103" formatCode="0.00">
                  <c:v>0.66489184334226115</c:v>
                </c:pt>
                <c:pt idx="104" formatCode="0.00">
                  <c:v>0.6648165478072865</c:v>
                </c:pt>
                <c:pt idx="105" formatCode="0.00">
                  <c:v>0.66474432555945351</c:v>
                </c:pt>
                <c:pt idx="106" formatCode="0.00">
                  <c:v>0.66466595673733675</c:v>
                </c:pt>
                <c:pt idx="107" formatCode="0.00">
                  <c:v>0.66458605127164938</c:v>
                </c:pt>
                <c:pt idx="108" formatCode="0.00">
                  <c:v>0.66451075573667462</c:v>
                </c:pt>
                <c:pt idx="109" formatCode="0.00">
                  <c:v>0.66442624034027431</c:v>
                </c:pt>
                <c:pt idx="110" formatCode="0.00">
                  <c:v>0.66435094480529955</c:v>
                </c:pt>
                <c:pt idx="111" formatCode="0.00">
                  <c:v>0.66428025920103762</c:v>
                </c:pt>
                <c:pt idx="112" formatCode="0.00">
                  <c:v>0.66420189037892086</c:v>
                </c:pt>
                <c:pt idx="113" formatCode="0.00">
                  <c:v>0.66412659484394632</c:v>
                </c:pt>
                <c:pt idx="114" formatCode="0.00">
                  <c:v>0.66404822602182967</c:v>
                </c:pt>
                <c:pt idx="115" formatCode="0.00">
                  <c:v>0.66397446713042585</c:v>
                </c:pt>
                <c:pt idx="116" formatCode="0.00">
                  <c:v>0.66390378152616392</c:v>
                </c:pt>
                <c:pt idx="117" formatCode="0.00">
                  <c:v>0.66382387606047621</c:v>
                </c:pt>
                <c:pt idx="118" formatCode="0.00">
                  <c:v>0.66375165381264334</c:v>
                </c:pt>
                <c:pt idx="119" formatCode="0.00">
                  <c:v>0.66368096820838141</c:v>
                </c:pt>
                <c:pt idx="120" formatCode="0.00">
                  <c:v>0.66360413602983537</c:v>
                </c:pt>
                <c:pt idx="121" formatCode="0.00">
                  <c:v>0.66353345042557343</c:v>
                </c:pt>
                <c:pt idx="122" formatCode="0.00">
                  <c:v>0.66346122817774056</c:v>
                </c:pt>
                <c:pt idx="123" formatCode="0.00">
                  <c:v>0.66338746928633674</c:v>
                </c:pt>
                <c:pt idx="124" formatCode="0.00">
                  <c:v>0.66331832032564553</c:v>
                </c:pt>
                <c:pt idx="125" formatCode="0.00">
                  <c:v>0.66324609807781265</c:v>
                </c:pt>
                <c:pt idx="126" formatCode="0.00">
                  <c:v>0.66317541247355072</c:v>
                </c:pt>
                <c:pt idx="127" formatCode="0.00">
                  <c:v>0.66310165358214657</c:v>
                </c:pt>
                <c:pt idx="128" formatCode="0.00">
                  <c:v>0.66303096797788474</c:v>
                </c:pt>
                <c:pt idx="129" formatCode="0.00">
                  <c:v>0.66296950223504802</c:v>
                </c:pt>
                <c:pt idx="130" formatCode="0.00">
                  <c:v>0.66287730362079345</c:v>
                </c:pt>
                <c:pt idx="131" formatCode="0.00">
                  <c:v>0.66282198445224039</c:v>
                </c:pt>
                <c:pt idx="132" formatCode="0.00">
                  <c:v>0.66273900569941102</c:v>
                </c:pt>
                <c:pt idx="133" formatCode="0.00">
                  <c:v>0.66267139338229075</c:v>
                </c:pt>
                <c:pt idx="134" formatCode="0.00">
                  <c:v>0.66258995127303244</c:v>
                </c:pt>
                <c:pt idx="135" formatCode="0.00">
                  <c:v>0.6625192656687704</c:v>
                </c:pt>
                <c:pt idx="136" formatCode="0.00">
                  <c:v>0.66245165335165013</c:v>
                </c:pt>
                <c:pt idx="137" formatCode="0.00">
                  <c:v>0.66237943110381736</c:v>
                </c:pt>
                <c:pt idx="138" formatCode="0.00">
                  <c:v>0.66229798899455872</c:v>
                </c:pt>
                <c:pt idx="139" formatCode="0.00">
                  <c:v>0.66224574311314777</c:v>
                </c:pt>
                <c:pt idx="140" formatCode="0.00">
                  <c:v>0.66223498660815128</c:v>
                </c:pt>
                <c:pt idx="141" formatCode="0.00">
                  <c:v>0.662170447578173</c:v>
                </c:pt>
                <c:pt idx="142" formatCode="0.00">
                  <c:v>0.66211205512247817</c:v>
                </c:pt>
                <c:pt idx="143" formatCode="0.00">
                  <c:v>0.66204597944892907</c:v>
                </c:pt>
                <c:pt idx="144" formatCode="0.00">
                  <c:v>0.66198144041895046</c:v>
                </c:pt>
                <c:pt idx="145" formatCode="0.00">
                  <c:v>0.66193841439896495</c:v>
                </c:pt>
                <c:pt idx="146" formatCode="0.00">
                  <c:v>0.66188155858684128</c:v>
                </c:pt>
                <c:pt idx="147" formatCode="0.00">
                  <c:v>0.66181855620043373</c:v>
                </c:pt>
                <c:pt idx="148" formatCode="0.00">
                  <c:v>0.66175862710116795</c:v>
                </c:pt>
                <c:pt idx="149" formatCode="0.00">
                  <c:v>0.661706381219757</c:v>
                </c:pt>
                <c:pt idx="150" formatCode="0.00">
                  <c:v>0.66164798876406228</c:v>
                </c:pt>
                <c:pt idx="151" formatCode="0.00">
                  <c:v>0.66158652302122567</c:v>
                </c:pt>
                <c:pt idx="152" formatCode="0.00">
                  <c:v>0.66153581378338555</c:v>
                </c:pt>
                <c:pt idx="153" formatCode="0.00">
                  <c:v>0.66148510454554543</c:v>
                </c:pt>
                <c:pt idx="154" formatCode="0.00">
                  <c:v>0.66141749222842516</c:v>
                </c:pt>
                <c:pt idx="155" formatCode="0.00">
                  <c:v>0.66135141655487584</c:v>
                </c:pt>
                <c:pt idx="156" formatCode="0.00">
                  <c:v>0.661296097386323</c:v>
                </c:pt>
                <c:pt idx="157" formatCode="0.00">
                  <c:v>0.66125153472276665</c:v>
                </c:pt>
                <c:pt idx="158" formatCode="0.00">
                  <c:v>0.66119314226707182</c:v>
                </c:pt>
                <c:pt idx="159" formatCode="0.00">
                  <c:v>0.66113935974208993</c:v>
                </c:pt>
                <c:pt idx="160" formatCode="0.00">
                  <c:v>0.66108250392996604</c:v>
                </c:pt>
                <c:pt idx="161" formatCode="0.00">
                  <c:v>0.66103179469212581</c:v>
                </c:pt>
                <c:pt idx="162" formatCode="0.00">
                  <c:v>0.66097186559286025</c:v>
                </c:pt>
                <c:pt idx="163" formatCode="0.00">
                  <c:v>0.6609088632064527</c:v>
                </c:pt>
                <c:pt idx="164" formatCode="0.00">
                  <c:v>0.66084893410718704</c:v>
                </c:pt>
                <c:pt idx="165" formatCode="0.00">
                  <c:v>0.6608012981564888</c:v>
                </c:pt>
                <c:pt idx="166" formatCode="0.00">
                  <c:v>0.66074444234436502</c:v>
                </c:pt>
                <c:pt idx="167" formatCode="0.00">
                  <c:v>0.66068758653224113</c:v>
                </c:pt>
                <c:pt idx="168" formatCode="0.00">
                  <c:v>0.66063841393797174</c:v>
                </c:pt>
                <c:pt idx="169" formatCode="0.00">
                  <c:v>0.66058002148227724</c:v>
                </c:pt>
                <c:pt idx="170" formatCode="0.00">
                  <c:v>0.66051394580872802</c:v>
                </c:pt>
                <c:pt idx="171" formatCode="0.00">
                  <c:v>0.66046784650160051</c:v>
                </c:pt>
                <c:pt idx="172" formatCode="0.00">
                  <c:v>0.66041406397661839</c:v>
                </c:pt>
                <c:pt idx="173" formatCode="0.00">
                  <c:v>0.66034952494664012</c:v>
                </c:pt>
                <c:pt idx="174" formatCode="0.00">
                  <c:v>0.66028344927309079</c:v>
                </c:pt>
                <c:pt idx="175" formatCode="0.00">
                  <c:v>0.66024810647095977</c:v>
                </c:pt>
                <c:pt idx="176" formatCode="0.00">
                  <c:v>0.66018664072812328</c:v>
                </c:pt>
                <c:pt idx="177" formatCode="0.00">
                  <c:v>0.6601343948467121</c:v>
                </c:pt>
                <c:pt idx="178" formatCode="0.00">
                  <c:v>0.66006217259887923</c:v>
                </c:pt>
                <c:pt idx="179" formatCode="0.00">
                  <c:v>0.66002375650960632</c:v>
                </c:pt>
                <c:pt idx="180" formatCode="0.00">
                  <c:v>0.65996075412319888</c:v>
                </c:pt>
                <c:pt idx="181" formatCode="0.00">
                  <c:v>0.65991004488535876</c:v>
                </c:pt>
                <c:pt idx="182" formatCode="0.00">
                  <c:v>0.65985011578609309</c:v>
                </c:pt>
                <c:pt idx="183" formatCode="0.00">
                  <c:v>0.65979633326111098</c:v>
                </c:pt>
                <c:pt idx="184" formatCode="0.00">
                  <c:v>0.65975638052826735</c:v>
                </c:pt>
                <c:pt idx="185" formatCode="0.00">
                  <c:v>0.65969952471614357</c:v>
                </c:pt>
                <c:pt idx="186" formatCode="0.00">
                  <c:v>0.65965803533972889</c:v>
                </c:pt>
                <c:pt idx="187" formatCode="0.00">
                  <c:v>0.65958273980475424</c:v>
                </c:pt>
                <c:pt idx="188" formatCode="0.00">
                  <c:v>0.65952281070548857</c:v>
                </c:pt>
                <c:pt idx="189" formatCode="0.00">
                  <c:v>0.65947056482407751</c:v>
                </c:pt>
                <c:pt idx="190" formatCode="0.00">
                  <c:v>0.65941831894266634</c:v>
                </c:pt>
                <c:pt idx="191" formatCode="0.00">
                  <c:v>0.6593599264869715</c:v>
                </c:pt>
                <c:pt idx="192" formatCode="0.00">
                  <c:v>0.6593092172491315</c:v>
                </c:pt>
                <c:pt idx="193" formatCode="0.00">
                  <c:v>0.65925389808057844</c:v>
                </c:pt>
                <c:pt idx="194" formatCode="0.00">
                  <c:v>0.65919550562488383</c:v>
                </c:pt>
                <c:pt idx="195" formatCode="0.00">
                  <c:v>0.65914172309990193</c:v>
                </c:pt>
                <c:pt idx="196" formatCode="0.00">
                  <c:v>0.65908794057492004</c:v>
                </c:pt>
                <c:pt idx="197" formatCode="0.00">
                  <c:v>0.65902032825779977</c:v>
                </c:pt>
                <c:pt idx="198" formatCode="0.00">
                  <c:v>0.65896347244567588</c:v>
                </c:pt>
                <c:pt idx="199" formatCode="0.00">
                  <c:v>0.65890968992069399</c:v>
                </c:pt>
                <c:pt idx="200" formatCode="0.00">
                  <c:v>0.65884822417785727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5C-4549-8B48-4853ABA149D6}"/>
            </c:ext>
          </c:extLst>
        </c:ser>
        <c:ser>
          <c:idx val="2"/>
          <c:order val="4"/>
          <c:tx>
            <c:v>PVDF/BTO/3wt.%MWCNT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>
                  <a:lumMod val="50000"/>
                </a:schemeClr>
              </a:solidFill>
              <a:ln w="63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'All dielectric constant &amp; loss'!$AJ$25:$AJ$225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loss'!$AN$25:$AN$225</c:f>
              <c:numCache>
                <c:formatCode>0.00E+00</c:formatCode>
                <c:ptCount val="201"/>
                <c:pt idx="0">
                  <c:v>1.2412330642670444</c:v>
                </c:pt>
                <c:pt idx="1">
                  <c:v>1.168489894263556</c:v>
                </c:pt>
                <c:pt idx="2">
                  <c:v>1.1453926047491507</c:v>
                </c:pt>
                <c:pt idx="3">
                  <c:v>1.1316212050666214</c:v>
                </c:pt>
                <c:pt idx="4">
                  <c:v>1.121771319777064</c:v>
                </c:pt>
                <c:pt idx="5">
                  <c:v>1.1140420026153675</c:v>
                </c:pt>
                <c:pt idx="6">
                  <c:v>1.1077663502717554</c:v>
                </c:pt>
                <c:pt idx="7">
                  <c:v>1.1024096107835499</c:v>
                </c:pt>
                <c:pt idx="8">
                  <c:v>1.0976675287237101</c:v>
                </c:pt>
                <c:pt idx="9">
                  <c:v>1.0935785201815085</c:v>
                </c:pt>
                <c:pt idx="10">
                  <c:v>1.0898936488984572</c:v>
                </c:pt>
                <c:pt idx="11">
                  <c:v>1.0866006217259889</c:v>
                </c:pt>
                <c:pt idx="12">
                  <c:v>1.0834950650691721</c:v>
                </c:pt>
                <c:pt idx="13">
                  <c:v>1.0806000285815704</c:v>
                </c:pt>
                <c:pt idx="14">
                  <c:v>1.0779431718474606</c:v>
                </c:pt>
                <c:pt idx="15">
                  <c:v>1.075533714728268</c:v>
                </c:pt>
                <c:pt idx="16">
                  <c:v>1.0732333593026098</c:v>
                </c:pt>
                <c:pt idx="17">
                  <c:v>1.071055935362625</c:v>
                </c:pt>
                <c:pt idx="18">
                  <c:v>1.069022955918306</c:v>
                </c:pt>
                <c:pt idx="19">
                  <c:v>1.0670698819396744</c:v>
                </c:pt>
                <c:pt idx="20">
                  <c:v>1.0651582973374578</c:v>
                </c:pt>
                <c:pt idx="21">
                  <c:v>1.0633942305180488</c:v>
                </c:pt>
                <c:pt idx="22">
                  <c:v>1.0617023859464725</c:v>
                </c:pt>
                <c:pt idx="23">
                  <c:v>1.0600781536920167</c:v>
                </c:pt>
                <c:pt idx="24">
                  <c:v>1.0585353635468195</c:v>
                </c:pt>
                <c:pt idx="25">
                  <c:v>1.0570555757880293</c:v>
                </c:pt>
                <c:pt idx="26">
                  <c:v>1.055601910969945</c:v>
                </c:pt>
                <c:pt idx="27">
                  <c:v>1.0542097118946969</c:v>
                </c:pt>
                <c:pt idx="28">
                  <c:v>1.0529819336815367</c:v>
                </c:pt>
                <c:pt idx="29">
                  <c:v>1.0517003729433947</c:v>
                </c:pt>
                <c:pt idx="30">
                  <c:v>1.0504603015816671</c:v>
                </c:pt>
                <c:pt idx="31">
                  <c:v>1.0492463531606455</c:v>
                </c:pt>
                <c:pt idx="32">
                  <c:v>1.0480984804131726</c:v>
                </c:pt>
                <c:pt idx="33">
                  <c:v>1.0470274398442458</c:v>
                </c:pt>
                <c:pt idx="34">
                  <c:v>1.0460870139788467</c:v>
                </c:pt>
                <c:pt idx="35">
                  <c:v>1.0450897323013237</c:v>
                </c:pt>
                <c:pt idx="36">
                  <c:v>1.0441754293766299</c:v>
                </c:pt>
                <c:pt idx="37">
                  <c:v>1.043530039076846</c:v>
                </c:pt>
                <c:pt idx="38">
                  <c:v>1.04299836040131</c:v>
                </c:pt>
                <c:pt idx="39">
                  <c:v>1.0425081711021882</c:v>
                </c:pt>
                <c:pt idx="40">
                  <c:v>1.0426572255285671</c:v>
                </c:pt>
                <c:pt idx="41">
                  <c:v>1.0424420954286391</c:v>
                </c:pt>
                <c:pt idx="42">
                  <c:v>1.0420963506251832</c:v>
                </c:pt>
                <c:pt idx="43">
                  <c:v>1.0414786199096762</c:v>
                </c:pt>
                <c:pt idx="44">
                  <c:v>1.0407287378470704</c:v>
                </c:pt>
                <c:pt idx="45">
                  <c:v>1.0400802742601447</c:v>
                </c:pt>
                <c:pt idx="46">
                  <c:v>1.0396484774167178</c:v>
                </c:pt>
                <c:pt idx="47">
                  <c:v>1.0390107703347886</c:v>
                </c:pt>
                <c:pt idx="48">
                  <c:v>1.0389539145226649</c:v>
                </c:pt>
                <c:pt idx="49">
                  <c:v>1.0388678624826935</c:v>
                </c:pt>
                <c:pt idx="50">
                  <c:v>1.0387480042841624</c:v>
                </c:pt>
                <c:pt idx="51" formatCode="0.00">
                  <c:v>1.0382086423907715</c:v>
                </c:pt>
                <c:pt idx="52" formatCode="0.00">
                  <c:v>1.0379658527065672</c:v>
                </c:pt>
                <c:pt idx="53" formatCode="0.00">
                  <c:v>1.0370576963561571</c:v>
                </c:pt>
                <c:pt idx="54" formatCode="0.00">
                  <c:v>1.0359467030543865</c:v>
                </c:pt>
                <c:pt idx="55" formatCode="0.00">
                  <c:v>1.0349878374661363</c:v>
                </c:pt>
                <c:pt idx="56" formatCode="0.00">
                  <c:v>1.0339275534022057</c:v>
                </c:pt>
                <c:pt idx="57" formatCode="0.00">
                  <c:v>1.0330762528639195</c:v>
                </c:pt>
                <c:pt idx="58" formatCode="0.00">
                  <c:v>1.0321358269985204</c:v>
                </c:pt>
                <c:pt idx="59" formatCode="0.00">
                  <c:v>1.0313198692623651</c:v>
                </c:pt>
                <c:pt idx="60" formatCode="0.00">
                  <c:v>1.0306299162990247</c:v>
                </c:pt>
                <c:pt idx="61" formatCode="0.00">
                  <c:v>1.0299107671078371</c:v>
                </c:pt>
                <c:pt idx="62" formatCode="0.00">
                  <c:v>1.0292530836594858</c:v>
                </c:pt>
                <c:pt idx="63" formatCode="0.00">
                  <c:v>1.0285831070625675</c:v>
                </c:pt>
                <c:pt idx="64" formatCode="0.00">
                  <c:v>1.0278870075249436</c:v>
                </c:pt>
                <c:pt idx="65" formatCode="0.00">
                  <c:v>1.0272892531758582</c:v>
                </c:pt>
                <c:pt idx="66" formatCode="0.00">
                  <c:v>1.0267422080646127</c:v>
                </c:pt>
                <c:pt idx="67" formatCode="0.00">
                  <c:v>1.0261567468640946</c:v>
                </c:pt>
                <c:pt idx="68" formatCode="0.00">
                  <c:v>1.0255682123764349</c:v>
                </c:pt>
                <c:pt idx="69" formatCode="0.00">
                  <c:v>1.0249919710373421</c:v>
                </c:pt>
                <c:pt idx="70" formatCode="0.00">
                  <c:v>1.0244618290053769</c:v>
                </c:pt>
                <c:pt idx="71" formatCode="0.00">
                  <c:v>1.0239132472505605</c:v>
                </c:pt>
                <c:pt idx="72" formatCode="0.00">
                  <c:v>1.023333932624326</c:v>
                </c:pt>
                <c:pt idx="73" formatCode="0.00">
                  <c:v>1.0227822775823681</c:v>
                </c:pt>
                <c:pt idx="74" formatCode="0.00">
                  <c:v>1.0223120646496684</c:v>
                </c:pt>
                <c:pt idx="75" formatCode="0.00">
                  <c:v>1.0218188020634051</c:v>
                </c:pt>
                <c:pt idx="76" formatCode="0.00">
                  <c:v>1.0213654922099857</c:v>
                </c:pt>
                <c:pt idx="77" formatCode="0.00">
                  <c:v>1.0208875960594312</c:v>
                </c:pt>
                <c:pt idx="78" formatCode="0.00">
                  <c:v>1.0205526077609721</c:v>
                </c:pt>
                <c:pt idx="79" formatCode="0.00">
                  <c:v>1.0202575721953568</c:v>
                </c:pt>
                <c:pt idx="80" formatCode="0.00">
                  <c:v>1.020019392441865</c:v>
                </c:pt>
                <c:pt idx="81" formatCode="0.00">
                  <c:v>1.0192280210028446</c:v>
                </c:pt>
                <c:pt idx="82" formatCode="0.00">
                  <c:v>1.0185180916730823</c:v>
                </c:pt>
                <c:pt idx="83" formatCode="0.00">
                  <c:v>1.0177866493333272</c:v>
                </c:pt>
                <c:pt idx="84" formatCode="0.00">
                  <c:v>1.0164405495652067</c:v>
                </c:pt>
                <c:pt idx="85" formatCode="0.00">
                  <c:v>1.0151236460249335</c:v>
                </c:pt>
                <c:pt idx="86" formatCode="0.00">
                  <c:v>1.014725655340067</c:v>
                </c:pt>
                <c:pt idx="87" formatCode="0.00">
                  <c:v>1.0143645441009024</c:v>
                </c:pt>
                <c:pt idx="88" formatCode="0.00">
                  <c:v>1.0139650167724645</c:v>
                </c:pt>
                <c:pt idx="89" formatCode="0.00">
                  <c:v>1.0135870024540199</c:v>
                </c:pt>
                <c:pt idx="90" formatCode="0.00">
                  <c:v>1.0132719905219827</c:v>
                </c:pt>
                <c:pt idx="91" formatCode="0.00">
                  <c:v>1.0128909029163959</c:v>
                </c:pt>
                <c:pt idx="92" formatCode="0.00">
                  <c:v>1.0124437396372599</c:v>
                </c:pt>
                <c:pt idx="93" formatCode="0.00">
                  <c:v>1.0120426756652516</c:v>
                </c:pt>
                <c:pt idx="94" formatCode="0.00">
                  <c:v>1.0116400750496719</c:v>
                </c:pt>
                <c:pt idx="95" formatCode="0.00">
                  <c:v>1.0115540230097009</c:v>
                </c:pt>
                <c:pt idx="96" formatCode="0.00">
                  <c:v>1.0115448031482754</c:v>
                </c:pt>
                <c:pt idx="97" formatCode="0.00">
                  <c:v>1.0113296730483474</c:v>
                </c:pt>
                <c:pt idx="98" formatCode="0.00">
                  <c:v>1.0109485854427607</c:v>
                </c:pt>
                <c:pt idx="99" formatCode="0.00">
                  <c:v>1.0104722259357775</c:v>
                </c:pt>
                <c:pt idx="100" formatCode="0.00">
                  <c:v>1.0101034314787583</c:v>
                </c:pt>
                <c:pt idx="101" formatCode="0.00">
                  <c:v>1.0097039041503206</c:v>
                </c:pt>
                <c:pt idx="102" formatCode="0.00">
                  <c:v>1.0093335730497306</c:v>
                </c:pt>
                <c:pt idx="103" formatCode="0.00">
                  <c:v>1.0089678518798531</c:v>
                </c:pt>
                <c:pt idx="104" formatCode="0.00">
                  <c:v>1.0086236437199685</c:v>
                </c:pt>
                <c:pt idx="105" formatCode="0.00">
                  <c:v>1.008216433173676</c:v>
                </c:pt>
                <c:pt idx="106" formatCode="0.00">
                  <c:v>1.0078046126966711</c:v>
                </c:pt>
                <c:pt idx="107" formatCode="0.00">
                  <c:v>1.0074158418732302</c:v>
                </c:pt>
                <c:pt idx="108" formatCode="0.00">
                  <c:v>1.0070332176240724</c:v>
                </c:pt>
                <c:pt idx="109" formatCode="0.00">
                  <c:v>1.0070193878319345</c:v>
                </c:pt>
                <c:pt idx="110" formatCode="0.00">
                  <c:v>1.007234517931862</c:v>
                </c:pt>
                <c:pt idx="111" formatCode="0.00">
                  <c:v>1.0073098134668368</c:v>
                </c:pt>
                <c:pt idx="112" formatCode="0.00">
                  <c:v>1.007165368971171</c:v>
                </c:pt>
                <c:pt idx="113" formatCode="0.00">
                  <c:v>1.0067258889098898</c:v>
                </c:pt>
                <c:pt idx="114" formatCode="0.00">
                  <c:v>1.0062403095414809</c:v>
                </c:pt>
                <c:pt idx="115" formatCode="0.00">
                  <c:v>1.0058684417973198</c:v>
                </c:pt>
                <c:pt idx="116" formatCode="0.00">
                  <c:v>1.0059468106194365</c:v>
                </c:pt>
                <c:pt idx="117" formatCode="0.00">
                  <c:v>1.0059083945301637</c:v>
                </c:pt>
                <c:pt idx="118" formatCode="0.00">
                  <c:v>1.0055257702810059</c:v>
                </c:pt>
                <c:pt idx="119" formatCode="0.00">
                  <c:v>1.0050693871404448</c:v>
                </c:pt>
                <c:pt idx="120" formatCode="0.00">
                  <c:v>1.0049526022290551</c:v>
                </c:pt>
                <c:pt idx="121" formatCode="0.00">
                  <c:v>1.0049833351004736</c:v>
                </c:pt>
                <c:pt idx="122" formatCode="0.00">
                  <c:v>1.0053413730524963</c:v>
                </c:pt>
                <c:pt idx="123" formatCode="0.00">
                  <c:v>1.0055903093109846</c:v>
                </c:pt>
                <c:pt idx="124" formatCode="0.00">
                  <c:v>1.0047144224755635</c:v>
                </c:pt>
                <c:pt idx="125" formatCode="0.00">
                  <c:v>1.0037063842930443</c:v>
                </c:pt>
                <c:pt idx="126" formatCode="0.00">
                  <c:v>1.0031793155482207</c:v>
                </c:pt>
                <c:pt idx="127" formatCode="0.00">
                  <c:v>1.002584634486277</c:v>
                </c:pt>
                <c:pt idx="128" formatCode="0.00">
                  <c:v>1.001304610391706</c:v>
                </c:pt>
                <c:pt idx="129" formatCode="0.00">
                  <c:v>1.0002858157041901</c:v>
                </c:pt>
                <c:pt idx="130" formatCode="0.00">
                  <c:v>0.99955591000800603</c:v>
                </c:pt>
                <c:pt idx="131" formatCode="0.00">
                  <c:v>0.99902576797604092</c:v>
                </c:pt>
                <c:pt idx="132" formatCode="0.00">
                  <c:v>0.99854172525120299</c:v>
                </c:pt>
                <c:pt idx="133" formatCode="0.00">
                  <c:v>0.99814988114061975</c:v>
                </c:pt>
                <c:pt idx="134" formatCode="0.00">
                  <c:v>0.99792706782283735</c:v>
                </c:pt>
                <c:pt idx="135" formatCode="0.00">
                  <c:v>0.99772576751504771</c:v>
                </c:pt>
                <c:pt idx="136" formatCode="0.00">
                  <c:v>0.99727399430519892</c:v>
                </c:pt>
                <c:pt idx="137" formatCode="0.00">
                  <c:v>0.99685756389748148</c:v>
                </c:pt>
                <c:pt idx="138" formatCode="0.00">
                  <c:v>0.99652564888616413</c:v>
                </c:pt>
                <c:pt idx="139" formatCode="0.00">
                  <c:v>0.99623368660769018</c:v>
                </c:pt>
                <c:pt idx="140" formatCode="0.00">
                  <c:v>0.99610768183487541</c:v>
                </c:pt>
                <c:pt idx="141" formatCode="0.00">
                  <c:v>0.9962029537362721</c:v>
                </c:pt>
                <c:pt idx="142" formatCode="0.00">
                  <c:v>0.99626595612267954</c:v>
                </c:pt>
                <c:pt idx="143" formatCode="0.00">
                  <c:v>0.99678841493679016</c:v>
                </c:pt>
                <c:pt idx="144" formatCode="0.00">
                  <c:v>0.99695437244244889</c:v>
                </c:pt>
                <c:pt idx="145" formatCode="0.00">
                  <c:v>0.99694822586816534</c:v>
                </c:pt>
                <c:pt idx="146" formatCode="0.00">
                  <c:v>0.99675460877823019</c:v>
                </c:pt>
                <c:pt idx="147" formatCode="0.00">
                  <c:v>0.99651642902473847</c:v>
                </c:pt>
                <c:pt idx="148" formatCode="0.00">
                  <c:v>0.99625980954839588</c:v>
                </c:pt>
                <c:pt idx="149" formatCode="0.00">
                  <c:v>0.99602931301275899</c:v>
                </c:pt>
                <c:pt idx="150" formatCode="0.00">
                  <c:v>0.99575579045713625</c:v>
                </c:pt>
                <c:pt idx="151" formatCode="0.00">
                  <c:v>0.99532553025728032</c:v>
                </c:pt>
                <c:pt idx="152" formatCode="0.00">
                  <c:v>0.994723165977482</c:v>
                </c:pt>
                <c:pt idx="153" formatCode="0.00">
                  <c:v>0.99405933595484741</c:v>
                </c:pt>
                <c:pt idx="154" formatCode="0.00">
                  <c:v>0.99359680624000235</c:v>
                </c:pt>
                <c:pt idx="155" formatCode="0.00">
                  <c:v>0.99338013949650339</c:v>
                </c:pt>
                <c:pt idx="156" formatCode="0.00">
                  <c:v>0.99323569500083753</c:v>
                </c:pt>
                <c:pt idx="157" formatCode="0.00">
                  <c:v>0.99324645150583402</c:v>
                </c:pt>
                <c:pt idx="158" formatCode="0.00">
                  <c:v>0.99301134503948407</c:v>
                </c:pt>
                <c:pt idx="159" formatCode="0.00">
                  <c:v>0.99233522186828194</c:v>
                </c:pt>
                <c:pt idx="160" formatCode="0.00">
                  <c:v>0.99188498530200442</c:v>
                </c:pt>
                <c:pt idx="161" formatCode="0.00">
                  <c:v>0.99160531617209813</c:v>
                </c:pt>
                <c:pt idx="162" formatCode="0.00">
                  <c:v>0.99132103711147901</c:v>
                </c:pt>
                <c:pt idx="163" formatCode="0.00">
                  <c:v>0.99103829469443083</c:v>
                </c:pt>
                <c:pt idx="164" formatCode="0.00">
                  <c:v>0.99070945297025537</c:v>
                </c:pt>
                <c:pt idx="165" formatCode="0.00">
                  <c:v>0.99014243149258796</c:v>
                </c:pt>
                <c:pt idx="166" formatCode="0.00">
                  <c:v>0.98953238399493537</c:v>
                </c:pt>
                <c:pt idx="167" formatCode="0.00">
                  <c:v>0.98902682826010446</c:v>
                </c:pt>
                <c:pt idx="168" formatCode="0.00">
                  <c:v>0.98879786836803851</c:v>
                </c:pt>
                <c:pt idx="169" formatCode="0.00">
                  <c:v>0.98860271463453264</c:v>
                </c:pt>
                <c:pt idx="170" formatCode="0.00">
                  <c:v>0.98835531501961538</c:v>
                </c:pt>
                <c:pt idx="171" formatCode="0.00">
                  <c:v>0.98809254896898902</c:v>
                </c:pt>
                <c:pt idx="172" formatCode="0.00">
                  <c:v>0.98788356544334477</c:v>
                </c:pt>
                <c:pt idx="173" formatCode="0.00">
                  <c:v>0.98765153226413682</c:v>
                </c:pt>
                <c:pt idx="174" formatCode="0.00">
                  <c:v>0.98743332887706714</c:v>
                </c:pt>
                <c:pt idx="175" formatCode="0.00">
                  <c:v>0.98728120116354634</c:v>
                </c:pt>
                <c:pt idx="176" formatCode="0.00">
                  <c:v>0.98708912071718236</c:v>
                </c:pt>
                <c:pt idx="177" formatCode="0.00">
                  <c:v>0.98688474712225083</c:v>
                </c:pt>
                <c:pt idx="178" formatCode="0.00">
                  <c:v>0.9866803735273193</c:v>
                </c:pt>
                <c:pt idx="179" formatCode="0.00">
                  <c:v>0.98642682733811837</c:v>
                </c:pt>
                <c:pt idx="180" formatCode="0.00">
                  <c:v>0.98619940408962337</c:v>
                </c:pt>
                <c:pt idx="181" formatCode="0.00">
                  <c:v>0.9859981037818335</c:v>
                </c:pt>
                <c:pt idx="182" formatCode="0.00">
                  <c:v>0.98562162610695969</c:v>
                </c:pt>
                <c:pt idx="183" formatCode="0.00">
                  <c:v>0.98546335181915568</c:v>
                </c:pt>
                <c:pt idx="184" formatCode="0.00">
                  <c:v>0.98526051486779487</c:v>
                </c:pt>
                <c:pt idx="185" formatCode="0.00">
                  <c:v>0.98505460462929262</c:v>
                </c:pt>
                <c:pt idx="186" formatCode="0.00">
                  <c:v>0.98483179131150989</c:v>
                </c:pt>
                <c:pt idx="187" formatCode="0.00">
                  <c:v>0.98461819785515303</c:v>
                </c:pt>
                <c:pt idx="188" formatCode="0.00">
                  <c:v>0.98437079824023588</c:v>
                </c:pt>
                <c:pt idx="189" formatCode="0.00">
                  <c:v>0.9841495215660242</c:v>
                </c:pt>
                <c:pt idx="190" formatCode="0.00">
                  <c:v>0.9839697342682272</c:v>
                </c:pt>
                <c:pt idx="191" formatCode="0.00">
                  <c:v>0.98383450963398689</c:v>
                </c:pt>
                <c:pt idx="192" formatCode="0.00">
                  <c:v>0.98353947406837161</c:v>
                </c:pt>
                <c:pt idx="193" formatCode="0.00">
                  <c:v>0.9832828545920288</c:v>
                </c:pt>
                <c:pt idx="194" formatCode="0.00">
                  <c:v>0.98306157791781734</c:v>
                </c:pt>
                <c:pt idx="195" formatCode="0.00">
                  <c:v>0.98254372903441956</c:v>
                </c:pt>
                <c:pt idx="196" formatCode="0.00">
                  <c:v>0.98195212125961751</c:v>
                </c:pt>
                <c:pt idx="197" formatCode="0.00">
                  <c:v>0.98153569085189984</c:v>
                </c:pt>
                <c:pt idx="198" formatCode="0.00">
                  <c:v>0.98123604535557185</c:v>
                </c:pt>
                <c:pt idx="199" formatCode="0.00">
                  <c:v>0.98101169539421851</c:v>
                </c:pt>
                <c:pt idx="200" formatCode="0.00">
                  <c:v>0.98078734543286505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82-4948-9C65-F90B6D61B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363800"/>
        <c:axId val="535364128"/>
      </c:scatterChart>
      <c:valAx>
        <c:axId val="535363800"/>
        <c:scaling>
          <c:orientation val="minMax"/>
          <c:max val="100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35364128"/>
        <c:crosses val="autoZero"/>
        <c:crossBetween val="midCat"/>
        <c:majorUnit val="200000"/>
      </c:valAx>
      <c:valAx>
        <c:axId val="535364128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Dielectric Constant </a:t>
                </a:r>
                <a:r>
                  <a:rPr lang="tr-TR" sz="2800" b="0" i="0" baseline="0">
                    <a:effectLst/>
                  </a:rPr>
                  <a:t>(</a:t>
                </a:r>
                <a:r>
                  <a:rPr lang="el-GR" sz="2800" b="0" i="0" baseline="0">
                    <a:effectLst/>
                  </a:rPr>
                  <a:t>ε</a:t>
                </a:r>
                <a:r>
                  <a:rPr lang="en-US" sz="2800" b="0" i="0" baseline="-25000">
                    <a:effectLst/>
                  </a:rPr>
                  <a:t>r</a:t>
                </a:r>
                <a:r>
                  <a:rPr lang="tr-TR" sz="2800" b="0" i="0" baseline="0">
                    <a:effectLst/>
                  </a:rPr>
                  <a:t>)</a:t>
                </a:r>
                <a:r>
                  <a:rPr lang="tr-TR" sz="2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9.4017276936973135E-3"/>
              <c:y val="0.14534650663370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35363800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6545036713410055"/>
          <c:y val="6.0825557189159454E-2"/>
          <c:w val="0.7092660155183319"/>
          <c:h val="0.2131580784831465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84747981466344"/>
          <c:y val="3.2661594261418576E-2"/>
          <c:w val="0.81904060836905224"/>
          <c:h val="0.80871137398738568"/>
        </c:manualLayout>
      </c:layout>
      <c:scatterChart>
        <c:scatterStyle val="lineMarker"/>
        <c:varyColors val="0"/>
        <c:ser>
          <c:idx val="4"/>
          <c:order val="0"/>
          <c:tx>
            <c:v>PVDF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'All dielectric constant &amp; loss'!$B$25:$B$225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loss'!$I$25:$I$225</c:f>
              <c:numCache>
                <c:formatCode>General</c:formatCode>
                <c:ptCount val="201"/>
                <c:pt idx="0">
                  <c:v>6.2599999999999999E-3</c:v>
                </c:pt>
                <c:pt idx="1">
                  <c:v>6.2299999999999994E-3</c:v>
                </c:pt>
                <c:pt idx="2">
                  <c:v>6.9599999999999992E-3</c:v>
                </c:pt>
                <c:pt idx="3">
                  <c:v>7.4400000000000004E-3</c:v>
                </c:pt>
                <c:pt idx="4">
                  <c:v>8.2299999999999995E-3</c:v>
                </c:pt>
                <c:pt idx="5">
                  <c:v>8.5100000000000002E-3</c:v>
                </c:pt>
                <c:pt idx="6">
                  <c:v>9.1000000000000004E-3</c:v>
                </c:pt>
                <c:pt idx="7">
                  <c:v>9.75E-3</c:v>
                </c:pt>
                <c:pt idx="8">
                  <c:v>1.008E-2</c:v>
                </c:pt>
                <c:pt idx="9">
                  <c:v>1.059E-2</c:v>
                </c:pt>
                <c:pt idx="10">
                  <c:v>1.098E-2</c:v>
                </c:pt>
                <c:pt idx="11">
                  <c:v>1.1519999999999999E-2</c:v>
                </c:pt>
                <c:pt idx="12">
                  <c:v>1.196E-2</c:v>
                </c:pt>
                <c:pt idx="13">
                  <c:v>1.2249999999999999E-2</c:v>
                </c:pt>
                <c:pt idx="14">
                  <c:v>1.264E-2</c:v>
                </c:pt>
                <c:pt idx="15">
                  <c:v>1.2999999999999999E-2</c:v>
                </c:pt>
                <c:pt idx="16">
                  <c:v>1.3389999999999999E-2</c:v>
                </c:pt>
                <c:pt idx="17">
                  <c:v>1.376E-2</c:v>
                </c:pt>
                <c:pt idx="18">
                  <c:v>1.41E-2</c:v>
                </c:pt>
                <c:pt idx="19">
                  <c:v>1.4489999999999999E-2</c:v>
                </c:pt>
                <c:pt idx="20">
                  <c:v>1.4789999999999999E-2</c:v>
                </c:pt>
                <c:pt idx="21">
                  <c:v>1.5139999999999999E-2</c:v>
                </c:pt>
                <c:pt idx="22">
                  <c:v>1.538E-2</c:v>
                </c:pt>
                <c:pt idx="23">
                  <c:v>1.5700000000000002E-2</c:v>
                </c:pt>
                <c:pt idx="24">
                  <c:v>1.5980000000000001E-2</c:v>
                </c:pt>
                <c:pt idx="25">
                  <c:v>1.6289999999999999E-2</c:v>
                </c:pt>
                <c:pt idx="26">
                  <c:v>1.6539999999999999E-2</c:v>
                </c:pt>
                <c:pt idx="27">
                  <c:v>1.6840000000000001E-2</c:v>
                </c:pt>
                <c:pt idx="28">
                  <c:v>1.721E-2</c:v>
                </c:pt>
                <c:pt idx="29">
                  <c:v>1.7410000000000002E-2</c:v>
                </c:pt>
                <c:pt idx="30">
                  <c:v>1.7690000000000001E-2</c:v>
                </c:pt>
                <c:pt idx="31">
                  <c:v>1.796E-2</c:v>
                </c:pt>
                <c:pt idx="32">
                  <c:v>1.8170000000000002E-2</c:v>
                </c:pt>
                <c:pt idx="33">
                  <c:v>1.847E-2</c:v>
                </c:pt>
                <c:pt idx="34">
                  <c:v>1.8720000000000001E-2</c:v>
                </c:pt>
                <c:pt idx="35">
                  <c:v>1.8950000000000002E-2</c:v>
                </c:pt>
                <c:pt idx="36">
                  <c:v>1.9180000000000003E-2</c:v>
                </c:pt>
                <c:pt idx="37">
                  <c:v>1.941E-2</c:v>
                </c:pt>
                <c:pt idx="38">
                  <c:v>1.967E-2</c:v>
                </c:pt>
                <c:pt idx="39">
                  <c:v>1.9880000000000002E-2</c:v>
                </c:pt>
                <c:pt idx="40">
                  <c:v>2.0140000000000002E-2</c:v>
                </c:pt>
                <c:pt idx="41">
                  <c:v>2.0410000000000001E-2</c:v>
                </c:pt>
                <c:pt idx="42">
                  <c:v>2.0590000000000001E-2</c:v>
                </c:pt>
                <c:pt idx="43">
                  <c:v>2.0820000000000002E-2</c:v>
                </c:pt>
                <c:pt idx="44">
                  <c:v>2.104E-2</c:v>
                </c:pt>
                <c:pt idx="45">
                  <c:v>2.1260000000000001E-2</c:v>
                </c:pt>
                <c:pt idx="46">
                  <c:v>2.145E-2</c:v>
                </c:pt>
                <c:pt idx="47">
                  <c:v>2.1670000000000002E-2</c:v>
                </c:pt>
                <c:pt idx="48">
                  <c:v>2.188E-2</c:v>
                </c:pt>
                <c:pt idx="49">
                  <c:v>2.2070000000000003E-2</c:v>
                </c:pt>
                <c:pt idx="50">
                  <c:v>2.2280000000000001E-2</c:v>
                </c:pt>
                <c:pt idx="51">
                  <c:v>2.248E-2</c:v>
                </c:pt>
                <c:pt idx="52">
                  <c:v>2.2660000000000003E-2</c:v>
                </c:pt>
                <c:pt idx="53">
                  <c:v>2.2840000000000003E-2</c:v>
                </c:pt>
                <c:pt idx="54">
                  <c:v>2.3030000000000002E-2</c:v>
                </c:pt>
                <c:pt idx="55">
                  <c:v>2.324E-2</c:v>
                </c:pt>
                <c:pt idx="56">
                  <c:v>2.342E-2</c:v>
                </c:pt>
                <c:pt idx="57">
                  <c:v>2.3570000000000001E-2</c:v>
                </c:pt>
                <c:pt idx="58">
                  <c:v>2.375E-2</c:v>
                </c:pt>
                <c:pt idx="59">
                  <c:v>2.3940000000000003E-2</c:v>
                </c:pt>
                <c:pt idx="60">
                  <c:v>2.4170000000000001E-2</c:v>
                </c:pt>
                <c:pt idx="61">
                  <c:v>2.4340000000000001E-2</c:v>
                </c:pt>
                <c:pt idx="62">
                  <c:v>2.452E-2</c:v>
                </c:pt>
                <c:pt idx="63">
                  <c:v>2.4710000000000003E-2</c:v>
                </c:pt>
                <c:pt idx="64">
                  <c:v>2.486E-2</c:v>
                </c:pt>
                <c:pt idx="65">
                  <c:v>2.5050000000000003E-2</c:v>
                </c:pt>
                <c:pt idx="66">
                  <c:v>2.521E-2</c:v>
                </c:pt>
                <c:pt idx="67">
                  <c:v>2.5390000000000003E-2</c:v>
                </c:pt>
                <c:pt idx="68">
                  <c:v>2.5560000000000003E-2</c:v>
                </c:pt>
                <c:pt idx="69">
                  <c:v>2.571E-2</c:v>
                </c:pt>
                <c:pt idx="70">
                  <c:v>2.589E-2</c:v>
                </c:pt>
                <c:pt idx="71">
                  <c:v>2.605E-2</c:v>
                </c:pt>
                <c:pt idx="72">
                  <c:v>2.6180000000000002E-2</c:v>
                </c:pt>
                <c:pt idx="73">
                  <c:v>2.6360000000000001E-2</c:v>
                </c:pt>
                <c:pt idx="74">
                  <c:v>2.6530000000000001E-2</c:v>
                </c:pt>
                <c:pt idx="75">
                  <c:v>2.6680000000000002E-2</c:v>
                </c:pt>
                <c:pt idx="76">
                  <c:v>2.6840000000000003E-2</c:v>
                </c:pt>
                <c:pt idx="77">
                  <c:v>2.699E-2</c:v>
                </c:pt>
                <c:pt idx="78">
                  <c:v>2.7150000000000001E-2</c:v>
                </c:pt>
                <c:pt idx="79">
                  <c:v>2.7300000000000001E-2</c:v>
                </c:pt>
                <c:pt idx="80">
                  <c:v>2.7460000000000002E-2</c:v>
                </c:pt>
                <c:pt idx="81">
                  <c:v>2.7610000000000003E-2</c:v>
                </c:pt>
                <c:pt idx="82">
                  <c:v>2.776E-2</c:v>
                </c:pt>
                <c:pt idx="83">
                  <c:v>2.7910000000000001E-2</c:v>
                </c:pt>
                <c:pt idx="84">
                  <c:v>2.8070000000000001E-2</c:v>
                </c:pt>
                <c:pt idx="85">
                  <c:v>2.8200000000000003E-2</c:v>
                </c:pt>
                <c:pt idx="86">
                  <c:v>2.835E-2</c:v>
                </c:pt>
                <c:pt idx="87">
                  <c:v>2.8510000000000001E-2</c:v>
                </c:pt>
                <c:pt idx="88">
                  <c:v>2.8640000000000002E-2</c:v>
                </c:pt>
                <c:pt idx="89">
                  <c:v>2.879E-2</c:v>
                </c:pt>
                <c:pt idx="90">
                  <c:v>2.8930000000000001E-2</c:v>
                </c:pt>
                <c:pt idx="91">
                  <c:v>2.9060000000000002E-2</c:v>
                </c:pt>
                <c:pt idx="92">
                  <c:v>2.92E-2</c:v>
                </c:pt>
                <c:pt idx="93">
                  <c:v>2.9340000000000001E-2</c:v>
                </c:pt>
                <c:pt idx="94">
                  <c:v>2.947E-2</c:v>
                </c:pt>
                <c:pt idx="95">
                  <c:v>2.962E-2</c:v>
                </c:pt>
                <c:pt idx="96">
                  <c:v>2.9750000000000002E-2</c:v>
                </c:pt>
                <c:pt idx="97">
                  <c:v>2.989E-2</c:v>
                </c:pt>
                <c:pt idx="98">
                  <c:v>3.0000000000000002E-2</c:v>
                </c:pt>
                <c:pt idx="99">
                  <c:v>3.0130000000000001E-2</c:v>
                </c:pt>
                <c:pt idx="100">
                  <c:v>3.0280000000000001E-2</c:v>
                </c:pt>
                <c:pt idx="101">
                  <c:v>3.0420000000000003E-2</c:v>
                </c:pt>
                <c:pt idx="102">
                  <c:v>3.0550000000000001E-2</c:v>
                </c:pt>
                <c:pt idx="103">
                  <c:v>3.0680000000000002E-2</c:v>
                </c:pt>
                <c:pt idx="104">
                  <c:v>3.0810000000000001E-2</c:v>
                </c:pt>
                <c:pt idx="105">
                  <c:v>3.0920000000000003E-2</c:v>
                </c:pt>
                <c:pt idx="106">
                  <c:v>3.1060000000000001E-2</c:v>
                </c:pt>
                <c:pt idx="107">
                  <c:v>3.1180000000000003E-2</c:v>
                </c:pt>
                <c:pt idx="108">
                  <c:v>3.1300000000000001E-2</c:v>
                </c:pt>
                <c:pt idx="109">
                  <c:v>3.1419999999999997E-2</c:v>
                </c:pt>
                <c:pt idx="110">
                  <c:v>3.1550000000000002E-2</c:v>
                </c:pt>
                <c:pt idx="111">
                  <c:v>3.1669999999999997E-2</c:v>
                </c:pt>
                <c:pt idx="112">
                  <c:v>3.1800000000000002E-2</c:v>
                </c:pt>
                <c:pt idx="113">
                  <c:v>3.1899999999999998E-2</c:v>
                </c:pt>
                <c:pt idx="114">
                  <c:v>3.2030000000000003E-2</c:v>
                </c:pt>
                <c:pt idx="115">
                  <c:v>3.2149999999999998E-2</c:v>
                </c:pt>
                <c:pt idx="116">
                  <c:v>3.227E-2</c:v>
                </c:pt>
                <c:pt idx="117">
                  <c:v>3.2379999999999999E-2</c:v>
                </c:pt>
                <c:pt idx="118">
                  <c:v>3.2500000000000001E-2</c:v>
                </c:pt>
                <c:pt idx="119">
                  <c:v>3.2619999999999996E-2</c:v>
                </c:pt>
                <c:pt idx="120">
                  <c:v>3.2719999999999999E-2</c:v>
                </c:pt>
                <c:pt idx="121">
                  <c:v>3.2840000000000001E-2</c:v>
                </c:pt>
                <c:pt idx="122">
                  <c:v>3.2960000000000003E-2</c:v>
                </c:pt>
                <c:pt idx="123">
                  <c:v>3.3059999999999999E-2</c:v>
                </c:pt>
                <c:pt idx="124">
                  <c:v>3.3180000000000001E-2</c:v>
                </c:pt>
                <c:pt idx="125">
                  <c:v>3.329E-2</c:v>
                </c:pt>
                <c:pt idx="126">
                  <c:v>3.3390000000000003E-2</c:v>
                </c:pt>
                <c:pt idx="127">
                  <c:v>3.3509999999999998E-2</c:v>
                </c:pt>
                <c:pt idx="128">
                  <c:v>3.3620000000000004E-2</c:v>
                </c:pt>
                <c:pt idx="129">
                  <c:v>3.3710000000000004E-2</c:v>
                </c:pt>
                <c:pt idx="130">
                  <c:v>3.3820000000000003E-2</c:v>
                </c:pt>
                <c:pt idx="131">
                  <c:v>3.3919999999999999E-2</c:v>
                </c:pt>
                <c:pt idx="132">
                  <c:v>3.4030000000000005E-2</c:v>
                </c:pt>
                <c:pt idx="133">
                  <c:v>3.4130000000000001E-2</c:v>
                </c:pt>
                <c:pt idx="134">
                  <c:v>3.4230000000000003E-2</c:v>
                </c:pt>
                <c:pt idx="135">
                  <c:v>3.4349999999999999E-2</c:v>
                </c:pt>
                <c:pt idx="136">
                  <c:v>3.4450000000000001E-2</c:v>
                </c:pt>
                <c:pt idx="137">
                  <c:v>3.4570000000000004E-2</c:v>
                </c:pt>
                <c:pt idx="138">
                  <c:v>3.4660000000000003E-2</c:v>
                </c:pt>
                <c:pt idx="139">
                  <c:v>3.4759999999999999E-2</c:v>
                </c:pt>
                <c:pt idx="140">
                  <c:v>3.4880000000000001E-2</c:v>
                </c:pt>
                <c:pt idx="141">
                  <c:v>3.4959999999999998E-2</c:v>
                </c:pt>
                <c:pt idx="142">
                  <c:v>3.5070000000000004E-2</c:v>
                </c:pt>
                <c:pt idx="143">
                  <c:v>3.5180000000000003E-2</c:v>
                </c:pt>
                <c:pt idx="144">
                  <c:v>3.5270000000000003E-2</c:v>
                </c:pt>
                <c:pt idx="145">
                  <c:v>3.5380000000000002E-2</c:v>
                </c:pt>
                <c:pt idx="146">
                  <c:v>3.5480000000000005E-2</c:v>
                </c:pt>
                <c:pt idx="147">
                  <c:v>3.5590000000000004E-2</c:v>
                </c:pt>
                <c:pt idx="148">
                  <c:v>3.5680000000000003E-2</c:v>
                </c:pt>
                <c:pt idx="149">
                  <c:v>3.5790000000000002E-2</c:v>
                </c:pt>
                <c:pt idx="150">
                  <c:v>3.5889999999999998E-2</c:v>
                </c:pt>
                <c:pt idx="151">
                  <c:v>3.5990000000000001E-2</c:v>
                </c:pt>
                <c:pt idx="152">
                  <c:v>3.6060000000000002E-2</c:v>
                </c:pt>
                <c:pt idx="153">
                  <c:v>3.6160000000000005E-2</c:v>
                </c:pt>
                <c:pt idx="154">
                  <c:v>3.628E-2</c:v>
                </c:pt>
                <c:pt idx="155">
                  <c:v>3.6380000000000003E-2</c:v>
                </c:pt>
                <c:pt idx="156">
                  <c:v>3.6450000000000003E-2</c:v>
                </c:pt>
                <c:pt idx="157">
                  <c:v>3.6569999999999998E-2</c:v>
                </c:pt>
                <c:pt idx="158">
                  <c:v>3.6650000000000002E-2</c:v>
                </c:pt>
                <c:pt idx="159">
                  <c:v>3.6760000000000001E-2</c:v>
                </c:pt>
                <c:pt idx="160">
                  <c:v>3.6840000000000005E-2</c:v>
                </c:pt>
                <c:pt idx="161">
                  <c:v>3.6930000000000004E-2</c:v>
                </c:pt>
                <c:pt idx="162">
                  <c:v>3.6999999999999998E-2</c:v>
                </c:pt>
                <c:pt idx="163">
                  <c:v>3.7110000000000004E-2</c:v>
                </c:pt>
                <c:pt idx="164">
                  <c:v>3.7180000000000005E-2</c:v>
                </c:pt>
                <c:pt idx="165">
                  <c:v>3.7290000000000004E-2</c:v>
                </c:pt>
                <c:pt idx="166">
                  <c:v>3.737E-2</c:v>
                </c:pt>
                <c:pt idx="167">
                  <c:v>3.746E-2</c:v>
                </c:pt>
                <c:pt idx="168">
                  <c:v>3.7530000000000001E-2</c:v>
                </c:pt>
                <c:pt idx="169">
                  <c:v>3.7630000000000004E-2</c:v>
                </c:pt>
                <c:pt idx="170">
                  <c:v>3.7720000000000004E-2</c:v>
                </c:pt>
                <c:pt idx="171">
                  <c:v>3.78E-2</c:v>
                </c:pt>
                <c:pt idx="172">
                  <c:v>3.7880000000000004E-2</c:v>
                </c:pt>
                <c:pt idx="173">
                  <c:v>3.7960000000000001E-2</c:v>
                </c:pt>
                <c:pt idx="174">
                  <c:v>3.807E-2</c:v>
                </c:pt>
                <c:pt idx="175">
                  <c:v>3.814E-2</c:v>
                </c:pt>
                <c:pt idx="176">
                  <c:v>3.8210000000000001E-2</c:v>
                </c:pt>
                <c:pt idx="177">
                  <c:v>3.8310000000000004E-2</c:v>
                </c:pt>
                <c:pt idx="178">
                  <c:v>3.8380000000000004E-2</c:v>
                </c:pt>
                <c:pt idx="179">
                  <c:v>3.8460000000000001E-2</c:v>
                </c:pt>
                <c:pt idx="180">
                  <c:v>3.8550000000000001E-2</c:v>
                </c:pt>
                <c:pt idx="181">
                  <c:v>3.8630000000000005E-2</c:v>
                </c:pt>
                <c:pt idx="182">
                  <c:v>3.8699999999999998E-2</c:v>
                </c:pt>
                <c:pt idx="183">
                  <c:v>3.8780000000000002E-2</c:v>
                </c:pt>
                <c:pt idx="184">
                  <c:v>3.8859999999999999E-2</c:v>
                </c:pt>
                <c:pt idx="185">
                  <c:v>3.8949999999999999E-2</c:v>
                </c:pt>
                <c:pt idx="186">
                  <c:v>3.9019999999999999E-2</c:v>
                </c:pt>
                <c:pt idx="187">
                  <c:v>3.9080000000000004E-2</c:v>
                </c:pt>
                <c:pt idx="188">
                  <c:v>3.918E-2</c:v>
                </c:pt>
                <c:pt idx="189">
                  <c:v>3.9260000000000003E-2</c:v>
                </c:pt>
                <c:pt idx="190">
                  <c:v>3.934E-2</c:v>
                </c:pt>
                <c:pt idx="191">
                  <c:v>3.9400000000000004E-2</c:v>
                </c:pt>
                <c:pt idx="192">
                  <c:v>3.9480000000000001E-2</c:v>
                </c:pt>
                <c:pt idx="193">
                  <c:v>3.9550000000000002E-2</c:v>
                </c:pt>
                <c:pt idx="194">
                  <c:v>3.9629999999999999E-2</c:v>
                </c:pt>
                <c:pt idx="195">
                  <c:v>3.9719999999999998E-2</c:v>
                </c:pt>
                <c:pt idx="196">
                  <c:v>3.977E-2</c:v>
                </c:pt>
                <c:pt idx="197">
                  <c:v>3.986E-2</c:v>
                </c:pt>
                <c:pt idx="198">
                  <c:v>3.9920000000000004E-2</c:v>
                </c:pt>
                <c:pt idx="199">
                  <c:v>3.9990000000000005E-2</c:v>
                </c:pt>
                <c:pt idx="200">
                  <c:v>3.9990000000000005E-2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2C-435A-9429-C34B4FFF6C11}"/>
            </c:ext>
          </c:extLst>
        </c:ser>
        <c:ser>
          <c:idx val="7"/>
          <c:order val="1"/>
          <c:tx>
            <c:v>PVDF/BTO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'All dielectric constant &amp; loss'!$B$25:$B$225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loss'!$R$25:$R$225</c:f>
              <c:numCache>
                <c:formatCode>General</c:formatCode>
                <c:ptCount val="201"/>
                <c:pt idx="0">
                  <c:v>8.0600000000000012E-3</c:v>
                </c:pt>
                <c:pt idx="1">
                  <c:v>7.0899999999999999E-3</c:v>
                </c:pt>
                <c:pt idx="2">
                  <c:v>6.8700000000000002E-3</c:v>
                </c:pt>
                <c:pt idx="3">
                  <c:v>7.3800000000000003E-3</c:v>
                </c:pt>
                <c:pt idx="4">
                  <c:v>8.0600000000000012E-3</c:v>
                </c:pt>
                <c:pt idx="5">
                  <c:v>8.1100000000000009E-3</c:v>
                </c:pt>
                <c:pt idx="6">
                  <c:v>8.4800000000000014E-3</c:v>
                </c:pt>
                <c:pt idx="7">
                  <c:v>8.8900000000000003E-3</c:v>
                </c:pt>
                <c:pt idx="8">
                  <c:v>9.0900000000000009E-3</c:v>
                </c:pt>
                <c:pt idx="9">
                  <c:v>9.3500000000000007E-3</c:v>
                </c:pt>
                <c:pt idx="10">
                  <c:v>9.6700000000000015E-3</c:v>
                </c:pt>
                <c:pt idx="11">
                  <c:v>1.0060000000000001E-2</c:v>
                </c:pt>
                <c:pt idx="12">
                  <c:v>1.042E-2</c:v>
                </c:pt>
                <c:pt idx="13">
                  <c:v>1.06E-2</c:v>
                </c:pt>
                <c:pt idx="14">
                  <c:v>1.085E-2</c:v>
                </c:pt>
                <c:pt idx="15">
                  <c:v>1.115E-2</c:v>
                </c:pt>
                <c:pt idx="16">
                  <c:v>1.1390000000000001E-2</c:v>
                </c:pt>
                <c:pt idx="17">
                  <c:v>1.17E-2</c:v>
                </c:pt>
                <c:pt idx="18">
                  <c:v>1.1930000000000001E-2</c:v>
                </c:pt>
                <c:pt idx="19">
                  <c:v>1.221E-2</c:v>
                </c:pt>
                <c:pt idx="20">
                  <c:v>1.2610000000000001E-2</c:v>
                </c:pt>
                <c:pt idx="21">
                  <c:v>1.272E-2</c:v>
                </c:pt>
                <c:pt idx="22">
                  <c:v>1.3050000000000001E-2</c:v>
                </c:pt>
                <c:pt idx="23">
                  <c:v>1.3210000000000001E-2</c:v>
                </c:pt>
                <c:pt idx="24">
                  <c:v>1.3510000000000001E-2</c:v>
                </c:pt>
                <c:pt idx="25">
                  <c:v>1.3680000000000001E-2</c:v>
                </c:pt>
                <c:pt idx="26">
                  <c:v>1.3950000000000001E-2</c:v>
                </c:pt>
                <c:pt idx="27">
                  <c:v>1.409E-2</c:v>
                </c:pt>
                <c:pt idx="28">
                  <c:v>1.439E-2</c:v>
                </c:pt>
                <c:pt idx="29">
                  <c:v>1.4630000000000001E-2</c:v>
                </c:pt>
                <c:pt idx="30">
                  <c:v>1.4870000000000001E-2</c:v>
                </c:pt>
                <c:pt idx="31">
                  <c:v>1.5030000000000002E-2</c:v>
                </c:pt>
                <c:pt idx="32">
                  <c:v>1.523E-2</c:v>
                </c:pt>
                <c:pt idx="33">
                  <c:v>1.5420000000000001E-2</c:v>
                </c:pt>
                <c:pt idx="34">
                  <c:v>1.5640000000000001E-2</c:v>
                </c:pt>
                <c:pt idx="35">
                  <c:v>1.5780000000000002E-2</c:v>
                </c:pt>
                <c:pt idx="36">
                  <c:v>1.5980000000000001E-2</c:v>
                </c:pt>
                <c:pt idx="37">
                  <c:v>1.619E-2</c:v>
                </c:pt>
                <c:pt idx="38">
                  <c:v>1.6369999999999999E-2</c:v>
                </c:pt>
                <c:pt idx="39">
                  <c:v>1.6550000000000002E-2</c:v>
                </c:pt>
                <c:pt idx="40">
                  <c:v>1.6750000000000001E-2</c:v>
                </c:pt>
                <c:pt idx="41">
                  <c:v>1.6910000000000001E-2</c:v>
                </c:pt>
                <c:pt idx="42">
                  <c:v>1.7100000000000001E-2</c:v>
                </c:pt>
                <c:pt idx="43">
                  <c:v>1.728E-2</c:v>
                </c:pt>
                <c:pt idx="44">
                  <c:v>1.7430000000000001E-2</c:v>
                </c:pt>
                <c:pt idx="45">
                  <c:v>1.762E-2</c:v>
                </c:pt>
                <c:pt idx="46">
                  <c:v>1.7760000000000001E-2</c:v>
                </c:pt>
                <c:pt idx="47">
                  <c:v>1.7899999999999999E-2</c:v>
                </c:pt>
                <c:pt idx="48">
                  <c:v>1.8090000000000002E-2</c:v>
                </c:pt>
                <c:pt idx="49">
                  <c:v>1.8200000000000001E-2</c:v>
                </c:pt>
                <c:pt idx="50">
                  <c:v>1.839E-2</c:v>
                </c:pt>
                <c:pt idx="51">
                  <c:v>1.8540000000000001E-2</c:v>
                </c:pt>
                <c:pt idx="52">
                  <c:v>1.8669999999999999E-2</c:v>
                </c:pt>
                <c:pt idx="53">
                  <c:v>1.883E-2</c:v>
                </c:pt>
                <c:pt idx="54">
                  <c:v>1.898E-2</c:v>
                </c:pt>
                <c:pt idx="55">
                  <c:v>1.9120000000000002E-2</c:v>
                </c:pt>
                <c:pt idx="56">
                  <c:v>1.9270000000000002E-2</c:v>
                </c:pt>
                <c:pt idx="57">
                  <c:v>1.9400000000000001E-2</c:v>
                </c:pt>
                <c:pt idx="58">
                  <c:v>1.9530000000000002E-2</c:v>
                </c:pt>
                <c:pt idx="59">
                  <c:v>1.968E-2</c:v>
                </c:pt>
                <c:pt idx="60">
                  <c:v>1.9859999999999999E-2</c:v>
                </c:pt>
                <c:pt idx="61">
                  <c:v>1.9980000000000001E-2</c:v>
                </c:pt>
                <c:pt idx="62">
                  <c:v>2.0130000000000002E-2</c:v>
                </c:pt>
                <c:pt idx="63">
                  <c:v>2.027E-2</c:v>
                </c:pt>
                <c:pt idx="64">
                  <c:v>2.0400000000000001E-2</c:v>
                </c:pt>
                <c:pt idx="65">
                  <c:v>2.0539999999999999E-2</c:v>
                </c:pt>
                <c:pt idx="66">
                  <c:v>2.0670000000000001E-2</c:v>
                </c:pt>
                <c:pt idx="67">
                  <c:v>2.0800000000000003E-2</c:v>
                </c:pt>
                <c:pt idx="68">
                  <c:v>2.0930000000000001E-2</c:v>
                </c:pt>
                <c:pt idx="69">
                  <c:v>2.1060000000000002E-2</c:v>
                </c:pt>
                <c:pt idx="70">
                  <c:v>2.1190000000000001E-2</c:v>
                </c:pt>
                <c:pt idx="71">
                  <c:v>2.1320000000000002E-2</c:v>
                </c:pt>
                <c:pt idx="72">
                  <c:v>2.1400000000000002E-2</c:v>
                </c:pt>
                <c:pt idx="73">
                  <c:v>2.1520000000000001E-2</c:v>
                </c:pt>
                <c:pt idx="74">
                  <c:v>2.164E-2</c:v>
                </c:pt>
                <c:pt idx="75">
                  <c:v>2.179E-2</c:v>
                </c:pt>
                <c:pt idx="76">
                  <c:v>2.189E-2</c:v>
                </c:pt>
                <c:pt idx="77">
                  <c:v>2.2020000000000001E-2</c:v>
                </c:pt>
                <c:pt idx="78">
                  <c:v>2.2110000000000001E-2</c:v>
                </c:pt>
                <c:pt idx="79">
                  <c:v>2.2239999999999999E-2</c:v>
                </c:pt>
                <c:pt idx="80">
                  <c:v>2.239E-2</c:v>
                </c:pt>
                <c:pt idx="81">
                  <c:v>2.249E-2</c:v>
                </c:pt>
                <c:pt idx="82">
                  <c:v>2.264E-2</c:v>
                </c:pt>
                <c:pt idx="83">
                  <c:v>2.2710000000000001E-2</c:v>
                </c:pt>
                <c:pt idx="84">
                  <c:v>2.282E-2</c:v>
                </c:pt>
                <c:pt idx="85">
                  <c:v>2.2960000000000001E-2</c:v>
                </c:pt>
                <c:pt idx="86">
                  <c:v>2.3060000000000001E-2</c:v>
                </c:pt>
                <c:pt idx="87">
                  <c:v>2.316E-2</c:v>
                </c:pt>
                <c:pt idx="88">
                  <c:v>2.3259999999999999E-2</c:v>
                </c:pt>
                <c:pt idx="89">
                  <c:v>2.3380000000000001E-2</c:v>
                </c:pt>
                <c:pt idx="90">
                  <c:v>2.349E-2</c:v>
                </c:pt>
                <c:pt idx="91">
                  <c:v>2.3599999999999999E-2</c:v>
                </c:pt>
                <c:pt idx="92">
                  <c:v>2.3700000000000002E-2</c:v>
                </c:pt>
                <c:pt idx="93">
                  <c:v>2.3800000000000002E-2</c:v>
                </c:pt>
                <c:pt idx="94">
                  <c:v>2.3890000000000002E-2</c:v>
                </c:pt>
                <c:pt idx="95">
                  <c:v>2.3990000000000001E-2</c:v>
                </c:pt>
                <c:pt idx="96">
                  <c:v>2.409E-2</c:v>
                </c:pt>
                <c:pt idx="97">
                  <c:v>2.418E-2</c:v>
                </c:pt>
                <c:pt idx="98">
                  <c:v>2.4300000000000002E-2</c:v>
                </c:pt>
                <c:pt idx="99">
                  <c:v>2.4390000000000002E-2</c:v>
                </c:pt>
                <c:pt idx="100">
                  <c:v>2.4510000000000001E-2</c:v>
                </c:pt>
                <c:pt idx="101">
                  <c:v>2.461E-2</c:v>
                </c:pt>
                <c:pt idx="102">
                  <c:v>2.4720000000000002E-2</c:v>
                </c:pt>
                <c:pt idx="103">
                  <c:v>2.4820000000000002E-2</c:v>
                </c:pt>
                <c:pt idx="104">
                  <c:v>2.4920000000000001E-2</c:v>
                </c:pt>
                <c:pt idx="105">
                  <c:v>2.5010000000000001E-2</c:v>
                </c:pt>
                <c:pt idx="106">
                  <c:v>2.511E-2</c:v>
                </c:pt>
                <c:pt idx="107">
                  <c:v>2.52E-2</c:v>
                </c:pt>
                <c:pt idx="108">
                  <c:v>2.528E-2</c:v>
                </c:pt>
                <c:pt idx="109">
                  <c:v>2.5389999999999999E-2</c:v>
                </c:pt>
                <c:pt idx="110">
                  <c:v>2.5479999999999999E-2</c:v>
                </c:pt>
                <c:pt idx="111">
                  <c:v>2.5580000000000002E-2</c:v>
                </c:pt>
                <c:pt idx="112">
                  <c:v>2.5670000000000002E-2</c:v>
                </c:pt>
                <c:pt idx="113">
                  <c:v>2.5760000000000002E-2</c:v>
                </c:pt>
                <c:pt idx="114">
                  <c:v>2.5850000000000001E-2</c:v>
                </c:pt>
                <c:pt idx="115">
                  <c:v>2.5950000000000001E-2</c:v>
                </c:pt>
                <c:pt idx="116">
                  <c:v>2.6010000000000002E-2</c:v>
                </c:pt>
                <c:pt idx="117">
                  <c:v>2.6120000000000001E-2</c:v>
                </c:pt>
                <c:pt idx="118">
                  <c:v>2.6190000000000001E-2</c:v>
                </c:pt>
                <c:pt idx="119">
                  <c:v>2.6280000000000001E-2</c:v>
                </c:pt>
                <c:pt idx="120">
                  <c:v>2.6360000000000001E-2</c:v>
                </c:pt>
                <c:pt idx="121">
                  <c:v>2.6460000000000001E-2</c:v>
                </c:pt>
                <c:pt idx="122">
                  <c:v>2.6540000000000001E-2</c:v>
                </c:pt>
                <c:pt idx="123">
                  <c:v>2.6620000000000001E-2</c:v>
                </c:pt>
                <c:pt idx="124">
                  <c:v>2.6710000000000001E-2</c:v>
                </c:pt>
                <c:pt idx="125">
                  <c:v>2.6790000000000001E-2</c:v>
                </c:pt>
                <c:pt idx="126">
                  <c:v>2.6890000000000001E-2</c:v>
                </c:pt>
                <c:pt idx="127">
                  <c:v>2.6950000000000002E-2</c:v>
                </c:pt>
                <c:pt idx="128">
                  <c:v>2.7040000000000002E-2</c:v>
                </c:pt>
                <c:pt idx="129">
                  <c:v>2.7120000000000002E-2</c:v>
                </c:pt>
                <c:pt idx="130">
                  <c:v>2.7190000000000002E-2</c:v>
                </c:pt>
                <c:pt idx="131">
                  <c:v>2.7280000000000002E-2</c:v>
                </c:pt>
                <c:pt idx="132">
                  <c:v>2.7349999999999999E-2</c:v>
                </c:pt>
                <c:pt idx="133">
                  <c:v>2.7439999999999999E-2</c:v>
                </c:pt>
                <c:pt idx="134">
                  <c:v>2.751E-2</c:v>
                </c:pt>
                <c:pt idx="135">
                  <c:v>2.759E-2</c:v>
                </c:pt>
                <c:pt idx="136">
                  <c:v>2.767E-2</c:v>
                </c:pt>
                <c:pt idx="137">
                  <c:v>2.7740000000000001E-2</c:v>
                </c:pt>
                <c:pt idx="138">
                  <c:v>2.7820000000000001E-2</c:v>
                </c:pt>
                <c:pt idx="139">
                  <c:v>2.7900000000000001E-2</c:v>
                </c:pt>
                <c:pt idx="140">
                  <c:v>2.7990000000000001E-2</c:v>
                </c:pt>
                <c:pt idx="141">
                  <c:v>2.8070000000000001E-2</c:v>
                </c:pt>
                <c:pt idx="142">
                  <c:v>2.8140000000000002E-2</c:v>
                </c:pt>
                <c:pt idx="143">
                  <c:v>2.8230000000000002E-2</c:v>
                </c:pt>
                <c:pt idx="144">
                  <c:v>2.8289999999999999E-2</c:v>
                </c:pt>
                <c:pt idx="145">
                  <c:v>2.8369999999999999E-2</c:v>
                </c:pt>
                <c:pt idx="146">
                  <c:v>2.845E-2</c:v>
                </c:pt>
                <c:pt idx="147">
                  <c:v>2.852E-2</c:v>
                </c:pt>
                <c:pt idx="148">
                  <c:v>2.861E-2</c:v>
                </c:pt>
                <c:pt idx="149">
                  <c:v>2.869E-2</c:v>
                </c:pt>
                <c:pt idx="150">
                  <c:v>2.8750000000000001E-2</c:v>
                </c:pt>
                <c:pt idx="151">
                  <c:v>2.8830000000000001E-2</c:v>
                </c:pt>
                <c:pt idx="152">
                  <c:v>2.8910000000000002E-2</c:v>
                </c:pt>
                <c:pt idx="153">
                  <c:v>2.8980000000000002E-2</c:v>
                </c:pt>
                <c:pt idx="154">
                  <c:v>2.904E-2</c:v>
                </c:pt>
                <c:pt idx="155">
                  <c:v>2.913E-2</c:v>
                </c:pt>
                <c:pt idx="156">
                  <c:v>2.9180000000000001E-2</c:v>
                </c:pt>
                <c:pt idx="157">
                  <c:v>2.9260000000000001E-2</c:v>
                </c:pt>
                <c:pt idx="158">
                  <c:v>2.9330000000000002E-2</c:v>
                </c:pt>
                <c:pt idx="159">
                  <c:v>2.9389999999999999E-2</c:v>
                </c:pt>
                <c:pt idx="160">
                  <c:v>2.946E-2</c:v>
                </c:pt>
                <c:pt idx="161">
                  <c:v>2.9530000000000001E-2</c:v>
                </c:pt>
                <c:pt idx="162">
                  <c:v>2.9590000000000002E-2</c:v>
                </c:pt>
                <c:pt idx="163">
                  <c:v>2.9670000000000002E-2</c:v>
                </c:pt>
                <c:pt idx="164">
                  <c:v>2.9740000000000003E-2</c:v>
                </c:pt>
                <c:pt idx="165">
                  <c:v>2.9790000000000001E-2</c:v>
                </c:pt>
                <c:pt idx="166">
                  <c:v>2.9870000000000001E-2</c:v>
                </c:pt>
                <c:pt idx="167">
                  <c:v>2.9930000000000002E-2</c:v>
                </c:pt>
                <c:pt idx="168">
                  <c:v>3.0010000000000002E-2</c:v>
                </c:pt>
                <c:pt idx="169">
                  <c:v>3.0079999999999999E-2</c:v>
                </c:pt>
                <c:pt idx="170">
                  <c:v>3.0120000000000001E-2</c:v>
                </c:pt>
                <c:pt idx="171">
                  <c:v>3.0200000000000001E-2</c:v>
                </c:pt>
                <c:pt idx="172">
                  <c:v>3.0270000000000002E-2</c:v>
                </c:pt>
                <c:pt idx="173">
                  <c:v>3.0340000000000002E-2</c:v>
                </c:pt>
                <c:pt idx="174">
                  <c:v>3.04E-2</c:v>
                </c:pt>
                <c:pt idx="175">
                  <c:v>3.0460000000000001E-2</c:v>
                </c:pt>
                <c:pt idx="176">
                  <c:v>3.0510000000000002E-2</c:v>
                </c:pt>
                <c:pt idx="177">
                  <c:v>3.0589999999999999E-2</c:v>
                </c:pt>
                <c:pt idx="178">
                  <c:v>3.0640000000000001E-2</c:v>
                </c:pt>
                <c:pt idx="179">
                  <c:v>3.0710000000000001E-2</c:v>
                </c:pt>
                <c:pt idx="180">
                  <c:v>3.0770000000000002E-2</c:v>
                </c:pt>
                <c:pt idx="181">
                  <c:v>3.083E-2</c:v>
                </c:pt>
                <c:pt idx="182">
                  <c:v>3.0880000000000001E-2</c:v>
                </c:pt>
                <c:pt idx="183">
                  <c:v>3.0940000000000002E-2</c:v>
                </c:pt>
                <c:pt idx="184">
                  <c:v>3.1020000000000002E-2</c:v>
                </c:pt>
                <c:pt idx="185">
                  <c:v>3.107E-2</c:v>
                </c:pt>
                <c:pt idx="186">
                  <c:v>3.1130000000000001E-2</c:v>
                </c:pt>
                <c:pt idx="187">
                  <c:v>3.117E-2</c:v>
                </c:pt>
                <c:pt idx="188">
                  <c:v>3.124E-2</c:v>
                </c:pt>
                <c:pt idx="189">
                  <c:v>3.1300000000000001E-2</c:v>
                </c:pt>
                <c:pt idx="190">
                  <c:v>3.1349999999999996E-2</c:v>
                </c:pt>
                <c:pt idx="191">
                  <c:v>3.1399999999999997E-2</c:v>
                </c:pt>
                <c:pt idx="192">
                  <c:v>3.1479999999999994E-2</c:v>
                </c:pt>
                <c:pt idx="193">
                  <c:v>3.1539999999999999E-2</c:v>
                </c:pt>
                <c:pt idx="194">
                  <c:v>3.1579999999999997E-2</c:v>
                </c:pt>
                <c:pt idx="195">
                  <c:v>3.1629999999999998E-2</c:v>
                </c:pt>
                <c:pt idx="196">
                  <c:v>3.1689999999999996E-2</c:v>
                </c:pt>
                <c:pt idx="197">
                  <c:v>3.1739999999999997E-2</c:v>
                </c:pt>
                <c:pt idx="198">
                  <c:v>3.1809999999999998E-2</c:v>
                </c:pt>
                <c:pt idx="199">
                  <c:v>3.1859999999999999E-2</c:v>
                </c:pt>
                <c:pt idx="200">
                  <c:v>3.1909999999999994E-2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2C-435A-9429-C34B4FFF6C11}"/>
            </c:ext>
          </c:extLst>
        </c:ser>
        <c:ser>
          <c:idx val="0"/>
          <c:order val="2"/>
          <c:tx>
            <c:v>PVDF/BTO/1wt.%MWCNT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'All dielectric constant &amp; loss'!$T$25:$T$225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loss'!$Y$25:$Y$225</c:f>
              <c:numCache>
                <c:formatCode>General</c:formatCode>
                <c:ptCount val="201"/>
                <c:pt idx="0">
                  <c:v>6.0200000000000002E-3</c:v>
                </c:pt>
                <c:pt idx="1">
                  <c:v>5.5199999999999997E-3</c:v>
                </c:pt>
                <c:pt idx="2">
                  <c:v>5.94E-3</c:v>
                </c:pt>
                <c:pt idx="3">
                  <c:v>6.2199999999999998E-3</c:v>
                </c:pt>
                <c:pt idx="4">
                  <c:v>7.0000000000000001E-3</c:v>
                </c:pt>
                <c:pt idx="5">
                  <c:v>7.1500000000000001E-3</c:v>
                </c:pt>
                <c:pt idx="6">
                  <c:v>7.4799999999999997E-3</c:v>
                </c:pt>
                <c:pt idx="7">
                  <c:v>8.0999999999999996E-3</c:v>
                </c:pt>
                <c:pt idx="8">
                  <c:v>8.3099999999999997E-3</c:v>
                </c:pt>
                <c:pt idx="9">
                  <c:v>8.6599999999999993E-3</c:v>
                </c:pt>
                <c:pt idx="10">
                  <c:v>9.0200000000000002E-3</c:v>
                </c:pt>
                <c:pt idx="11">
                  <c:v>9.3900000000000008E-3</c:v>
                </c:pt>
                <c:pt idx="12">
                  <c:v>9.7400000000000004E-3</c:v>
                </c:pt>
                <c:pt idx="13">
                  <c:v>1.0019999999999999E-2</c:v>
                </c:pt>
                <c:pt idx="14">
                  <c:v>1.0240000000000001E-2</c:v>
                </c:pt>
                <c:pt idx="15">
                  <c:v>1.055E-2</c:v>
                </c:pt>
                <c:pt idx="16">
                  <c:v>1.082E-2</c:v>
                </c:pt>
                <c:pt idx="17">
                  <c:v>1.11E-2</c:v>
                </c:pt>
                <c:pt idx="18">
                  <c:v>1.1379999999999999E-2</c:v>
                </c:pt>
                <c:pt idx="19">
                  <c:v>1.1679999999999999E-2</c:v>
                </c:pt>
                <c:pt idx="20">
                  <c:v>1.2E-2</c:v>
                </c:pt>
                <c:pt idx="21">
                  <c:v>1.221E-2</c:v>
                </c:pt>
                <c:pt idx="22">
                  <c:v>1.2489999999999999E-2</c:v>
                </c:pt>
                <c:pt idx="23">
                  <c:v>1.2710000000000001E-2</c:v>
                </c:pt>
                <c:pt idx="24">
                  <c:v>1.2930000000000001E-2</c:v>
                </c:pt>
                <c:pt idx="25">
                  <c:v>1.315E-2</c:v>
                </c:pt>
                <c:pt idx="26">
                  <c:v>1.332E-2</c:v>
                </c:pt>
                <c:pt idx="27">
                  <c:v>1.3520000000000001E-2</c:v>
                </c:pt>
                <c:pt idx="28">
                  <c:v>1.3809999999999999E-2</c:v>
                </c:pt>
                <c:pt idx="29">
                  <c:v>1.4019999999999999E-2</c:v>
                </c:pt>
                <c:pt idx="30">
                  <c:v>1.4239999999999999E-2</c:v>
                </c:pt>
                <c:pt idx="31">
                  <c:v>1.4420000000000001E-2</c:v>
                </c:pt>
                <c:pt idx="32">
                  <c:v>1.465E-2</c:v>
                </c:pt>
                <c:pt idx="33">
                  <c:v>1.482E-2</c:v>
                </c:pt>
                <c:pt idx="34">
                  <c:v>1.4970000000000001E-2</c:v>
                </c:pt>
                <c:pt idx="35">
                  <c:v>1.521E-2</c:v>
                </c:pt>
                <c:pt idx="36">
                  <c:v>1.538E-2</c:v>
                </c:pt>
                <c:pt idx="37">
                  <c:v>1.555E-2</c:v>
                </c:pt>
                <c:pt idx="38">
                  <c:v>1.5709999999999998E-2</c:v>
                </c:pt>
                <c:pt idx="39">
                  <c:v>1.5890000000000001E-2</c:v>
                </c:pt>
                <c:pt idx="40">
                  <c:v>1.6140000000000002E-2</c:v>
                </c:pt>
                <c:pt idx="41">
                  <c:v>1.6320000000000001E-2</c:v>
                </c:pt>
                <c:pt idx="42">
                  <c:v>1.651E-2</c:v>
                </c:pt>
                <c:pt idx="43">
                  <c:v>1.6660000000000001E-2</c:v>
                </c:pt>
                <c:pt idx="44">
                  <c:v>1.6809999999999999E-2</c:v>
                </c:pt>
                <c:pt idx="45">
                  <c:v>1.702E-2</c:v>
                </c:pt>
                <c:pt idx="46">
                  <c:v>1.7170000000000001E-2</c:v>
                </c:pt>
                <c:pt idx="47">
                  <c:v>1.736E-2</c:v>
                </c:pt>
                <c:pt idx="48">
                  <c:v>1.7479999999999999E-2</c:v>
                </c:pt>
                <c:pt idx="49">
                  <c:v>1.762E-2</c:v>
                </c:pt>
                <c:pt idx="50">
                  <c:v>1.7770000000000001E-2</c:v>
                </c:pt>
                <c:pt idx="51">
                  <c:v>1.7940000000000001E-2</c:v>
                </c:pt>
                <c:pt idx="52">
                  <c:v>1.8110000000000001E-2</c:v>
                </c:pt>
                <c:pt idx="53">
                  <c:v>1.822E-2</c:v>
                </c:pt>
                <c:pt idx="54">
                  <c:v>1.8370000000000001E-2</c:v>
                </c:pt>
                <c:pt idx="55">
                  <c:v>1.8519999999999998E-2</c:v>
                </c:pt>
                <c:pt idx="56">
                  <c:v>1.864E-2</c:v>
                </c:pt>
                <c:pt idx="57">
                  <c:v>1.8800000000000001E-2</c:v>
                </c:pt>
                <c:pt idx="58">
                  <c:v>1.8939999999999999E-2</c:v>
                </c:pt>
                <c:pt idx="59">
                  <c:v>1.9060000000000001E-2</c:v>
                </c:pt>
                <c:pt idx="60">
                  <c:v>1.925E-2</c:v>
                </c:pt>
                <c:pt idx="61">
                  <c:v>1.9380000000000001E-2</c:v>
                </c:pt>
                <c:pt idx="62">
                  <c:v>1.9539999999999998E-2</c:v>
                </c:pt>
                <c:pt idx="63">
                  <c:v>1.966E-2</c:v>
                </c:pt>
                <c:pt idx="64">
                  <c:v>1.9779999999999999E-2</c:v>
                </c:pt>
                <c:pt idx="65">
                  <c:v>1.9949999999999999E-2</c:v>
                </c:pt>
                <c:pt idx="66">
                  <c:v>2.0070000000000001E-2</c:v>
                </c:pt>
                <c:pt idx="67">
                  <c:v>2.0219999999999998E-2</c:v>
                </c:pt>
                <c:pt idx="68">
                  <c:v>2.0330000000000001E-2</c:v>
                </c:pt>
                <c:pt idx="69">
                  <c:v>2.0449999999999999E-2</c:v>
                </c:pt>
                <c:pt idx="70">
                  <c:v>2.0580000000000001E-2</c:v>
                </c:pt>
                <c:pt idx="71">
                  <c:v>2.0709999999999999E-2</c:v>
                </c:pt>
                <c:pt idx="72">
                  <c:v>2.0820000000000002E-2</c:v>
                </c:pt>
                <c:pt idx="73">
                  <c:v>2.0959999999999999E-2</c:v>
                </c:pt>
                <c:pt idx="74">
                  <c:v>2.1080000000000002E-2</c:v>
                </c:pt>
                <c:pt idx="75">
                  <c:v>2.1190000000000001E-2</c:v>
                </c:pt>
                <c:pt idx="76">
                  <c:v>2.1309999999999999E-2</c:v>
                </c:pt>
                <c:pt idx="77">
                  <c:v>2.1440000000000001E-2</c:v>
                </c:pt>
                <c:pt idx="78">
                  <c:v>2.154E-2</c:v>
                </c:pt>
                <c:pt idx="79">
                  <c:v>2.1669999999999998E-2</c:v>
                </c:pt>
                <c:pt idx="80">
                  <c:v>2.181E-2</c:v>
                </c:pt>
                <c:pt idx="81">
                  <c:v>2.1940000000000001E-2</c:v>
                </c:pt>
                <c:pt idx="82">
                  <c:v>2.2030000000000001E-2</c:v>
                </c:pt>
                <c:pt idx="83">
                  <c:v>2.2179999999999998E-2</c:v>
                </c:pt>
                <c:pt idx="84">
                  <c:v>2.2259999999999999E-2</c:v>
                </c:pt>
                <c:pt idx="85">
                  <c:v>2.24E-2</c:v>
                </c:pt>
                <c:pt idx="86">
                  <c:v>2.2499999999999999E-2</c:v>
                </c:pt>
                <c:pt idx="87">
                  <c:v>2.2610000000000002E-2</c:v>
                </c:pt>
                <c:pt idx="88">
                  <c:v>2.2720000000000001E-2</c:v>
                </c:pt>
                <c:pt idx="89">
                  <c:v>2.283E-2</c:v>
                </c:pt>
                <c:pt idx="90">
                  <c:v>2.2939999999999999E-2</c:v>
                </c:pt>
                <c:pt idx="91">
                  <c:v>2.3040000000000001E-2</c:v>
                </c:pt>
                <c:pt idx="92">
                  <c:v>2.316E-2</c:v>
                </c:pt>
                <c:pt idx="93">
                  <c:v>2.3269999999999999E-2</c:v>
                </c:pt>
                <c:pt idx="94">
                  <c:v>2.3369999999999998E-2</c:v>
                </c:pt>
                <c:pt idx="95">
                  <c:v>2.3470000000000001E-2</c:v>
                </c:pt>
                <c:pt idx="96">
                  <c:v>2.3560000000000001E-2</c:v>
                </c:pt>
                <c:pt idx="97">
                  <c:v>2.367E-2</c:v>
                </c:pt>
                <c:pt idx="98">
                  <c:v>2.3769999999999999E-2</c:v>
                </c:pt>
                <c:pt idx="99">
                  <c:v>2.3879999999999998E-2</c:v>
                </c:pt>
                <c:pt idx="100">
                  <c:v>2.4E-2</c:v>
                </c:pt>
                <c:pt idx="101">
                  <c:v>2.4109999999999999E-2</c:v>
                </c:pt>
                <c:pt idx="102">
                  <c:v>2.4199999999999999E-2</c:v>
                </c:pt>
                <c:pt idx="103">
                  <c:v>2.4309999999999998E-2</c:v>
                </c:pt>
                <c:pt idx="104">
                  <c:v>2.4410000000000001E-2</c:v>
                </c:pt>
                <c:pt idx="105">
                  <c:v>2.452E-2</c:v>
                </c:pt>
                <c:pt idx="106">
                  <c:v>2.46E-2</c:v>
                </c:pt>
                <c:pt idx="107">
                  <c:v>2.4709999999999999E-2</c:v>
                </c:pt>
                <c:pt idx="108">
                  <c:v>2.4799999999999999E-2</c:v>
                </c:pt>
                <c:pt idx="109">
                  <c:v>2.4910000000000002E-2</c:v>
                </c:pt>
                <c:pt idx="110">
                  <c:v>2.5000000000000001E-2</c:v>
                </c:pt>
                <c:pt idx="111">
                  <c:v>2.5090000000000001E-2</c:v>
                </c:pt>
                <c:pt idx="112">
                  <c:v>2.5190000000000001E-2</c:v>
                </c:pt>
                <c:pt idx="113">
                  <c:v>2.528E-2</c:v>
                </c:pt>
                <c:pt idx="114">
                  <c:v>2.5389999999999999E-2</c:v>
                </c:pt>
                <c:pt idx="115">
                  <c:v>2.547E-2</c:v>
                </c:pt>
                <c:pt idx="116">
                  <c:v>2.5559999999999999E-2</c:v>
                </c:pt>
                <c:pt idx="117">
                  <c:v>2.5659999999999999E-2</c:v>
                </c:pt>
                <c:pt idx="118">
                  <c:v>2.5739999999999999E-2</c:v>
                </c:pt>
                <c:pt idx="119">
                  <c:v>2.5839999999999998E-2</c:v>
                </c:pt>
                <c:pt idx="120">
                  <c:v>2.5930000000000002E-2</c:v>
                </c:pt>
                <c:pt idx="121">
                  <c:v>2.6020000000000001E-2</c:v>
                </c:pt>
                <c:pt idx="122">
                  <c:v>2.6120000000000001E-2</c:v>
                </c:pt>
                <c:pt idx="123">
                  <c:v>2.6190000000000001E-2</c:v>
                </c:pt>
                <c:pt idx="124">
                  <c:v>2.6280000000000001E-2</c:v>
                </c:pt>
                <c:pt idx="125">
                  <c:v>2.6370000000000001E-2</c:v>
                </c:pt>
                <c:pt idx="126">
                  <c:v>2.647E-2</c:v>
                </c:pt>
                <c:pt idx="127">
                  <c:v>2.6550000000000001E-2</c:v>
                </c:pt>
                <c:pt idx="128">
                  <c:v>2.664E-2</c:v>
                </c:pt>
                <c:pt idx="129">
                  <c:v>2.673E-2</c:v>
                </c:pt>
                <c:pt idx="130">
                  <c:v>2.6800000000000001E-2</c:v>
                </c:pt>
                <c:pt idx="131">
                  <c:v>2.6880000000000001E-2</c:v>
                </c:pt>
                <c:pt idx="132">
                  <c:v>2.6970000000000001E-2</c:v>
                </c:pt>
                <c:pt idx="133">
                  <c:v>2.7060000000000001E-2</c:v>
                </c:pt>
                <c:pt idx="134">
                  <c:v>2.7140000000000001E-2</c:v>
                </c:pt>
                <c:pt idx="135">
                  <c:v>2.7220000000000001E-2</c:v>
                </c:pt>
                <c:pt idx="136">
                  <c:v>2.7310000000000001E-2</c:v>
                </c:pt>
                <c:pt idx="137">
                  <c:v>2.7390000000000001E-2</c:v>
                </c:pt>
                <c:pt idx="138">
                  <c:v>2.7480000000000001E-2</c:v>
                </c:pt>
                <c:pt idx="139">
                  <c:v>2.7550000000000002E-2</c:v>
                </c:pt>
                <c:pt idx="140">
                  <c:v>2.7650000000000001E-2</c:v>
                </c:pt>
                <c:pt idx="141">
                  <c:v>2.7730000000000001E-2</c:v>
                </c:pt>
                <c:pt idx="142">
                  <c:v>2.7820000000000001E-2</c:v>
                </c:pt>
                <c:pt idx="143">
                  <c:v>2.7900000000000001E-2</c:v>
                </c:pt>
                <c:pt idx="144">
                  <c:v>2.7980000000000001E-2</c:v>
                </c:pt>
                <c:pt idx="145">
                  <c:v>2.8049999999999999E-2</c:v>
                </c:pt>
                <c:pt idx="146">
                  <c:v>2.8139999999999998E-2</c:v>
                </c:pt>
                <c:pt idx="147">
                  <c:v>2.8230000000000002E-2</c:v>
                </c:pt>
                <c:pt idx="148">
                  <c:v>2.8289999999999999E-2</c:v>
                </c:pt>
                <c:pt idx="149">
                  <c:v>2.8369999999999999E-2</c:v>
                </c:pt>
                <c:pt idx="150">
                  <c:v>2.8469999999999999E-2</c:v>
                </c:pt>
                <c:pt idx="151">
                  <c:v>2.8539999999999999E-2</c:v>
                </c:pt>
                <c:pt idx="152">
                  <c:v>2.861E-2</c:v>
                </c:pt>
                <c:pt idx="153">
                  <c:v>2.869E-2</c:v>
                </c:pt>
                <c:pt idx="154">
                  <c:v>2.8750000000000001E-2</c:v>
                </c:pt>
                <c:pt idx="155">
                  <c:v>2.8840000000000001E-2</c:v>
                </c:pt>
                <c:pt idx="156">
                  <c:v>2.8910000000000002E-2</c:v>
                </c:pt>
                <c:pt idx="157">
                  <c:v>2.8979999999999999E-2</c:v>
                </c:pt>
                <c:pt idx="158">
                  <c:v>2.9080000000000002E-2</c:v>
                </c:pt>
                <c:pt idx="159">
                  <c:v>2.9149999999999999E-2</c:v>
                </c:pt>
                <c:pt idx="160">
                  <c:v>2.92E-2</c:v>
                </c:pt>
                <c:pt idx="161">
                  <c:v>2.9309999999999999E-2</c:v>
                </c:pt>
                <c:pt idx="162">
                  <c:v>2.9360000000000001E-2</c:v>
                </c:pt>
                <c:pt idx="163">
                  <c:v>2.9440000000000001E-2</c:v>
                </c:pt>
                <c:pt idx="164">
                  <c:v>2.9499999999999998E-2</c:v>
                </c:pt>
                <c:pt idx="165">
                  <c:v>2.9579999999999999E-2</c:v>
                </c:pt>
                <c:pt idx="166">
                  <c:v>2.964E-2</c:v>
                </c:pt>
                <c:pt idx="167">
                  <c:v>2.971E-2</c:v>
                </c:pt>
                <c:pt idx="168">
                  <c:v>2.9749999999999999E-2</c:v>
                </c:pt>
                <c:pt idx="169">
                  <c:v>2.9860000000000001E-2</c:v>
                </c:pt>
                <c:pt idx="170">
                  <c:v>2.9929999999999998E-2</c:v>
                </c:pt>
                <c:pt idx="171">
                  <c:v>2.9989999999999999E-2</c:v>
                </c:pt>
                <c:pt idx="172">
                  <c:v>3.006E-2</c:v>
                </c:pt>
                <c:pt idx="173">
                  <c:v>3.0130000000000001E-2</c:v>
                </c:pt>
                <c:pt idx="174">
                  <c:v>3.0169999999999999E-2</c:v>
                </c:pt>
                <c:pt idx="175">
                  <c:v>3.0249999999999999E-2</c:v>
                </c:pt>
                <c:pt idx="176">
                  <c:v>3.032E-2</c:v>
                </c:pt>
                <c:pt idx="177">
                  <c:v>3.0380000000000001E-2</c:v>
                </c:pt>
                <c:pt idx="178">
                  <c:v>3.0460000000000001E-2</c:v>
                </c:pt>
                <c:pt idx="179">
                  <c:v>3.0499999999999999E-2</c:v>
                </c:pt>
                <c:pt idx="180">
                  <c:v>3.057E-2</c:v>
                </c:pt>
                <c:pt idx="181">
                  <c:v>3.0640000000000001E-2</c:v>
                </c:pt>
                <c:pt idx="182">
                  <c:v>3.0710000000000001E-2</c:v>
                </c:pt>
                <c:pt idx="183">
                  <c:v>3.0759999999999999E-2</c:v>
                </c:pt>
                <c:pt idx="184">
                  <c:v>3.083E-2</c:v>
                </c:pt>
                <c:pt idx="185">
                  <c:v>3.0890000000000001E-2</c:v>
                </c:pt>
                <c:pt idx="186">
                  <c:v>3.0960000000000001E-2</c:v>
                </c:pt>
                <c:pt idx="187">
                  <c:v>3.1019999999999999E-2</c:v>
                </c:pt>
                <c:pt idx="188">
                  <c:v>3.1060000000000001E-2</c:v>
                </c:pt>
                <c:pt idx="189">
                  <c:v>3.1130000000000001E-2</c:v>
                </c:pt>
                <c:pt idx="190">
                  <c:v>3.1189999999999999E-2</c:v>
                </c:pt>
                <c:pt idx="191">
                  <c:v>3.125E-2</c:v>
                </c:pt>
                <c:pt idx="192">
                  <c:v>3.1309999999999998E-2</c:v>
                </c:pt>
                <c:pt idx="193">
                  <c:v>3.1370000000000002E-2</c:v>
                </c:pt>
                <c:pt idx="194">
                  <c:v>3.1419999999999997E-2</c:v>
                </c:pt>
                <c:pt idx="195">
                  <c:v>3.15E-2</c:v>
                </c:pt>
                <c:pt idx="196">
                  <c:v>3.1559999999999998E-2</c:v>
                </c:pt>
                <c:pt idx="197">
                  <c:v>3.1620000000000002E-2</c:v>
                </c:pt>
                <c:pt idx="198">
                  <c:v>3.1660000000000001E-2</c:v>
                </c:pt>
                <c:pt idx="199">
                  <c:v>3.1719999999999998E-2</c:v>
                </c:pt>
                <c:pt idx="200">
                  <c:v>3.1789999999999999E-2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EB-488C-B056-A373E2B44CDD}"/>
            </c:ext>
          </c:extLst>
        </c:ser>
        <c:ser>
          <c:idx val="1"/>
          <c:order val="3"/>
          <c:tx>
            <c:v>PVDF/BTO/2wt.%MWCNT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'All dielectric constant &amp; loss'!$B$25:$B$225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loss'!$AG$25:$AG$225</c:f>
              <c:numCache>
                <c:formatCode>General</c:formatCode>
                <c:ptCount val="201"/>
                <c:pt idx="0">
                  <c:v>6.9499999999999996E-3</c:v>
                </c:pt>
                <c:pt idx="1">
                  <c:v>6.13E-3</c:v>
                </c:pt>
                <c:pt idx="2">
                  <c:v>6.6899999999999998E-3</c:v>
                </c:pt>
                <c:pt idx="3">
                  <c:v>7.1300000000000001E-3</c:v>
                </c:pt>
                <c:pt idx="4">
                  <c:v>7.8799999999999999E-3</c:v>
                </c:pt>
                <c:pt idx="5">
                  <c:v>8.0999999999999996E-3</c:v>
                </c:pt>
                <c:pt idx="6">
                  <c:v>8.6E-3</c:v>
                </c:pt>
                <c:pt idx="7">
                  <c:v>9.1299999999999992E-3</c:v>
                </c:pt>
                <c:pt idx="8">
                  <c:v>9.4500000000000001E-3</c:v>
                </c:pt>
                <c:pt idx="9">
                  <c:v>9.8499999999999994E-3</c:v>
                </c:pt>
                <c:pt idx="10">
                  <c:v>1.021E-2</c:v>
                </c:pt>
                <c:pt idx="11">
                  <c:v>1.069E-2</c:v>
                </c:pt>
                <c:pt idx="12">
                  <c:v>1.1039999999999999E-2</c:v>
                </c:pt>
                <c:pt idx="13">
                  <c:v>1.141E-2</c:v>
                </c:pt>
                <c:pt idx="14">
                  <c:v>1.1679999999999999E-2</c:v>
                </c:pt>
                <c:pt idx="15">
                  <c:v>1.205E-2</c:v>
                </c:pt>
                <c:pt idx="16">
                  <c:v>1.2359999999999999E-2</c:v>
                </c:pt>
                <c:pt idx="17">
                  <c:v>1.268E-2</c:v>
                </c:pt>
                <c:pt idx="18">
                  <c:v>1.2999999999999999E-2</c:v>
                </c:pt>
                <c:pt idx="19">
                  <c:v>1.3390000000000001E-2</c:v>
                </c:pt>
                <c:pt idx="20">
                  <c:v>1.372E-2</c:v>
                </c:pt>
                <c:pt idx="21">
                  <c:v>1.397E-2</c:v>
                </c:pt>
                <c:pt idx="22">
                  <c:v>1.421E-2</c:v>
                </c:pt>
                <c:pt idx="23">
                  <c:v>1.4460000000000001E-2</c:v>
                </c:pt>
                <c:pt idx="24">
                  <c:v>1.474E-2</c:v>
                </c:pt>
                <c:pt idx="25">
                  <c:v>1.4999999999999999E-2</c:v>
                </c:pt>
                <c:pt idx="26">
                  <c:v>1.529E-2</c:v>
                </c:pt>
                <c:pt idx="27">
                  <c:v>1.553E-2</c:v>
                </c:pt>
                <c:pt idx="28">
                  <c:v>1.584E-2</c:v>
                </c:pt>
                <c:pt idx="29">
                  <c:v>1.6080000000000001E-2</c:v>
                </c:pt>
                <c:pt idx="30">
                  <c:v>1.634E-2</c:v>
                </c:pt>
                <c:pt idx="31">
                  <c:v>1.6570000000000001E-2</c:v>
                </c:pt>
                <c:pt idx="32">
                  <c:v>1.6760000000000001E-2</c:v>
                </c:pt>
                <c:pt idx="33">
                  <c:v>1.7049999999999999E-2</c:v>
                </c:pt>
                <c:pt idx="34">
                  <c:v>1.7229999999999999E-2</c:v>
                </c:pt>
                <c:pt idx="35">
                  <c:v>1.745E-2</c:v>
                </c:pt>
                <c:pt idx="36">
                  <c:v>1.7639999999999999E-2</c:v>
                </c:pt>
                <c:pt idx="37">
                  <c:v>1.7850000000000001E-2</c:v>
                </c:pt>
                <c:pt idx="38">
                  <c:v>1.8069999999999999E-2</c:v>
                </c:pt>
                <c:pt idx="39">
                  <c:v>1.831E-2</c:v>
                </c:pt>
                <c:pt idx="40">
                  <c:v>1.8540000000000001E-2</c:v>
                </c:pt>
                <c:pt idx="41">
                  <c:v>1.8780000000000002E-2</c:v>
                </c:pt>
                <c:pt idx="42">
                  <c:v>1.898E-2</c:v>
                </c:pt>
                <c:pt idx="43">
                  <c:v>1.917E-2</c:v>
                </c:pt>
                <c:pt idx="44">
                  <c:v>1.9359999999999999E-2</c:v>
                </c:pt>
                <c:pt idx="45">
                  <c:v>1.9560000000000001E-2</c:v>
                </c:pt>
                <c:pt idx="46">
                  <c:v>1.975E-2</c:v>
                </c:pt>
                <c:pt idx="47">
                  <c:v>1.9939999999999999E-2</c:v>
                </c:pt>
                <c:pt idx="48">
                  <c:v>2.0109999999999999E-2</c:v>
                </c:pt>
                <c:pt idx="49">
                  <c:v>2.0299999999999999E-2</c:v>
                </c:pt>
                <c:pt idx="50">
                  <c:v>2.0480000000000002E-2</c:v>
                </c:pt>
                <c:pt idx="51">
                  <c:v>2.068E-2</c:v>
                </c:pt>
                <c:pt idx="52">
                  <c:v>2.085E-2</c:v>
                </c:pt>
                <c:pt idx="53">
                  <c:v>2.102E-2</c:v>
                </c:pt>
                <c:pt idx="54">
                  <c:v>2.1190000000000001E-2</c:v>
                </c:pt>
                <c:pt idx="55">
                  <c:v>2.1360000000000001E-2</c:v>
                </c:pt>
                <c:pt idx="56">
                  <c:v>2.1530000000000001E-2</c:v>
                </c:pt>
                <c:pt idx="57">
                  <c:v>2.171E-2</c:v>
                </c:pt>
                <c:pt idx="58">
                  <c:v>2.1860000000000001E-2</c:v>
                </c:pt>
                <c:pt idx="59">
                  <c:v>2.2009999999999998E-2</c:v>
                </c:pt>
                <c:pt idx="60">
                  <c:v>2.2239999999999999E-2</c:v>
                </c:pt>
                <c:pt idx="61">
                  <c:v>2.2380000000000001E-2</c:v>
                </c:pt>
                <c:pt idx="62">
                  <c:v>2.2550000000000001E-2</c:v>
                </c:pt>
                <c:pt idx="63">
                  <c:v>2.274E-2</c:v>
                </c:pt>
                <c:pt idx="64">
                  <c:v>2.2890000000000001E-2</c:v>
                </c:pt>
                <c:pt idx="65">
                  <c:v>2.3029999999999998E-2</c:v>
                </c:pt>
                <c:pt idx="66">
                  <c:v>2.3179999999999999E-2</c:v>
                </c:pt>
                <c:pt idx="67">
                  <c:v>2.3369999999999998E-2</c:v>
                </c:pt>
                <c:pt idx="68">
                  <c:v>2.35E-2</c:v>
                </c:pt>
                <c:pt idx="69">
                  <c:v>2.366E-2</c:v>
                </c:pt>
                <c:pt idx="70">
                  <c:v>2.3810000000000001E-2</c:v>
                </c:pt>
                <c:pt idx="71">
                  <c:v>2.3949999999999999E-2</c:v>
                </c:pt>
                <c:pt idx="72">
                  <c:v>2.41E-2</c:v>
                </c:pt>
                <c:pt idx="73">
                  <c:v>2.4250000000000001E-2</c:v>
                </c:pt>
                <c:pt idx="74">
                  <c:v>2.4389999999999998E-2</c:v>
                </c:pt>
                <c:pt idx="75">
                  <c:v>2.4549999999999999E-2</c:v>
                </c:pt>
                <c:pt idx="76">
                  <c:v>2.4680000000000001E-2</c:v>
                </c:pt>
                <c:pt idx="77">
                  <c:v>2.4819999999999998E-2</c:v>
                </c:pt>
                <c:pt idx="78">
                  <c:v>2.496E-2</c:v>
                </c:pt>
                <c:pt idx="79">
                  <c:v>2.5080000000000002E-2</c:v>
                </c:pt>
                <c:pt idx="80">
                  <c:v>2.5270000000000001E-2</c:v>
                </c:pt>
                <c:pt idx="81">
                  <c:v>2.5399999999999999E-2</c:v>
                </c:pt>
                <c:pt idx="82">
                  <c:v>2.554E-2</c:v>
                </c:pt>
                <c:pt idx="83">
                  <c:v>2.5669999999999998E-2</c:v>
                </c:pt>
                <c:pt idx="84">
                  <c:v>2.58E-2</c:v>
                </c:pt>
                <c:pt idx="85">
                  <c:v>2.596E-2</c:v>
                </c:pt>
                <c:pt idx="86">
                  <c:v>2.606E-2</c:v>
                </c:pt>
                <c:pt idx="87">
                  <c:v>2.6210000000000001E-2</c:v>
                </c:pt>
                <c:pt idx="88">
                  <c:v>2.6329999999999999E-2</c:v>
                </c:pt>
                <c:pt idx="89">
                  <c:v>2.648E-2</c:v>
                </c:pt>
                <c:pt idx="90">
                  <c:v>2.6589999999999999E-2</c:v>
                </c:pt>
                <c:pt idx="91">
                  <c:v>2.6710000000000001E-2</c:v>
                </c:pt>
                <c:pt idx="92">
                  <c:v>2.6849999999999999E-2</c:v>
                </c:pt>
                <c:pt idx="93">
                  <c:v>2.6980000000000001E-2</c:v>
                </c:pt>
                <c:pt idx="94">
                  <c:v>2.7089999999999999E-2</c:v>
                </c:pt>
                <c:pt idx="95">
                  <c:v>2.7230000000000001E-2</c:v>
                </c:pt>
                <c:pt idx="96">
                  <c:v>2.734E-2</c:v>
                </c:pt>
                <c:pt idx="97">
                  <c:v>2.7480000000000001E-2</c:v>
                </c:pt>
                <c:pt idx="98">
                  <c:v>2.759E-2</c:v>
                </c:pt>
                <c:pt idx="99">
                  <c:v>2.7720000000000002E-2</c:v>
                </c:pt>
                <c:pt idx="100">
                  <c:v>2.784E-2</c:v>
                </c:pt>
                <c:pt idx="101">
                  <c:v>2.7959999999999999E-2</c:v>
                </c:pt>
                <c:pt idx="102">
                  <c:v>2.809E-2</c:v>
                </c:pt>
                <c:pt idx="103">
                  <c:v>2.8199999999999999E-2</c:v>
                </c:pt>
                <c:pt idx="104">
                  <c:v>2.8309999999999998E-2</c:v>
                </c:pt>
                <c:pt idx="105">
                  <c:v>2.844E-2</c:v>
                </c:pt>
                <c:pt idx="106">
                  <c:v>2.8559999999999999E-2</c:v>
                </c:pt>
                <c:pt idx="107">
                  <c:v>2.8670000000000001E-2</c:v>
                </c:pt>
                <c:pt idx="108">
                  <c:v>2.878E-2</c:v>
                </c:pt>
                <c:pt idx="109">
                  <c:v>2.8899999999999999E-2</c:v>
                </c:pt>
                <c:pt idx="110">
                  <c:v>2.9010000000000001E-2</c:v>
                </c:pt>
                <c:pt idx="111">
                  <c:v>2.911E-2</c:v>
                </c:pt>
                <c:pt idx="112">
                  <c:v>2.9219999999999999E-2</c:v>
                </c:pt>
                <c:pt idx="113">
                  <c:v>2.9340000000000001E-2</c:v>
                </c:pt>
                <c:pt idx="114">
                  <c:v>2.946E-2</c:v>
                </c:pt>
                <c:pt idx="115">
                  <c:v>2.955E-2</c:v>
                </c:pt>
                <c:pt idx="116">
                  <c:v>2.9649999999999999E-2</c:v>
                </c:pt>
                <c:pt idx="117">
                  <c:v>2.9770000000000001E-2</c:v>
                </c:pt>
                <c:pt idx="118">
                  <c:v>2.9870000000000001E-2</c:v>
                </c:pt>
                <c:pt idx="119">
                  <c:v>2.997E-2</c:v>
                </c:pt>
                <c:pt idx="120">
                  <c:v>3.0079999999999999E-2</c:v>
                </c:pt>
                <c:pt idx="121">
                  <c:v>3.0190000000000002E-2</c:v>
                </c:pt>
                <c:pt idx="122">
                  <c:v>3.0290000000000001E-2</c:v>
                </c:pt>
                <c:pt idx="123">
                  <c:v>3.0380000000000001E-2</c:v>
                </c:pt>
                <c:pt idx="124">
                  <c:v>3.049E-2</c:v>
                </c:pt>
                <c:pt idx="125">
                  <c:v>3.058E-2</c:v>
                </c:pt>
                <c:pt idx="126">
                  <c:v>3.0700000000000002E-2</c:v>
                </c:pt>
                <c:pt idx="127">
                  <c:v>3.0800000000000001E-2</c:v>
                </c:pt>
                <c:pt idx="128">
                  <c:v>3.0890000000000001E-2</c:v>
                </c:pt>
                <c:pt idx="129">
                  <c:v>3.0980000000000001E-2</c:v>
                </c:pt>
                <c:pt idx="130">
                  <c:v>3.109E-2</c:v>
                </c:pt>
                <c:pt idx="131">
                  <c:v>3.117E-2</c:v>
                </c:pt>
                <c:pt idx="132">
                  <c:v>3.1280000000000002E-2</c:v>
                </c:pt>
                <c:pt idx="133">
                  <c:v>3.1359999999999999E-2</c:v>
                </c:pt>
                <c:pt idx="134">
                  <c:v>3.1460000000000002E-2</c:v>
                </c:pt>
                <c:pt idx="135">
                  <c:v>3.1559999999999998E-2</c:v>
                </c:pt>
                <c:pt idx="136">
                  <c:v>3.1649999999999998E-2</c:v>
                </c:pt>
                <c:pt idx="137">
                  <c:v>3.175E-2</c:v>
                </c:pt>
                <c:pt idx="138">
                  <c:v>3.184E-2</c:v>
                </c:pt>
                <c:pt idx="139">
                  <c:v>3.1949999999999999E-2</c:v>
                </c:pt>
                <c:pt idx="140">
                  <c:v>3.2030000000000003E-2</c:v>
                </c:pt>
                <c:pt idx="141">
                  <c:v>3.211E-2</c:v>
                </c:pt>
                <c:pt idx="142">
                  <c:v>3.2230000000000002E-2</c:v>
                </c:pt>
                <c:pt idx="143">
                  <c:v>3.2309999999999998E-2</c:v>
                </c:pt>
                <c:pt idx="144">
                  <c:v>3.2399999999999998E-2</c:v>
                </c:pt>
                <c:pt idx="145">
                  <c:v>3.2509999999999997E-2</c:v>
                </c:pt>
                <c:pt idx="146">
                  <c:v>3.261E-2</c:v>
                </c:pt>
                <c:pt idx="147">
                  <c:v>3.27E-2</c:v>
                </c:pt>
                <c:pt idx="148">
                  <c:v>3.279E-2</c:v>
                </c:pt>
                <c:pt idx="149">
                  <c:v>3.2870000000000003E-2</c:v>
                </c:pt>
                <c:pt idx="150">
                  <c:v>3.2960000000000003E-2</c:v>
                </c:pt>
                <c:pt idx="151">
                  <c:v>3.3070000000000002E-2</c:v>
                </c:pt>
                <c:pt idx="152">
                  <c:v>3.3140000000000003E-2</c:v>
                </c:pt>
                <c:pt idx="153">
                  <c:v>3.322E-2</c:v>
                </c:pt>
                <c:pt idx="154">
                  <c:v>3.3340000000000002E-2</c:v>
                </c:pt>
                <c:pt idx="155">
                  <c:v>3.3419999999999998E-2</c:v>
                </c:pt>
                <c:pt idx="156">
                  <c:v>3.3480000000000003E-2</c:v>
                </c:pt>
                <c:pt idx="157">
                  <c:v>3.3579999999999999E-2</c:v>
                </c:pt>
                <c:pt idx="158">
                  <c:v>3.3660000000000002E-2</c:v>
                </c:pt>
                <c:pt idx="159">
                  <c:v>3.3759999999999998E-2</c:v>
                </c:pt>
                <c:pt idx="160">
                  <c:v>3.3840000000000002E-2</c:v>
                </c:pt>
                <c:pt idx="161">
                  <c:v>3.3939999999999998E-2</c:v>
                </c:pt>
                <c:pt idx="162">
                  <c:v>3.3989999999999999E-2</c:v>
                </c:pt>
                <c:pt idx="163">
                  <c:v>3.4079999999999999E-2</c:v>
                </c:pt>
                <c:pt idx="164">
                  <c:v>3.415E-2</c:v>
                </c:pt>
                <c:pt idx="165">
                  <c:v>3.4229999999999997E-2</c:v>
                </c:pt>
                <c:pt idx="166">
                  <c:v>3.431E-2</c:v>
                </c:pt>
                <c:pt idx="167">
                  <c:v>3.4410000000000003E-2</c:v>
                </c:pt>
                <c:pt idx="168">
                  <c:v>3.4479999999999997E-2</c:v>
                </c:pt>
                <c:pt idx="169">
                  <c:v>3.4520000000000002E-2</c:v>
                </c:pt>
                <c:pt idx="170">
                  <c:v>3.465E-2</c:v>
                </c:pt>
                <c:pt idx="171">
                  <c:v>3.4720000000000001E-2</c:v>
                </c:pt>
                <c:pt idx="172">
                  <c:v>3.4790000000000001E-2</c:v>
                </c:pt>
                <c:pt idx="173">
                  <c:v>3.4860000000000002E-2</c:v>
                </c:pt>
                <c:pt idx="174">
                  <c:v>3.4950000000000002E-2</c:v>
                </c:pt>
                <c:pt idx="175">
                  <c:v>3.5029999999999999E-2</c:v>
                </c:pt>
                <c:pt idx="176">
                  <c:v>3.5099999999999999E-2</c:v>
                </c:pt>
                <c:pt idx="177">
                  <c:v>3.517E-2</c:v>
                </c:pt>
                <c:pt idx="178">
                  <c:v>3.524E-2</c:v>
                </c:pt>
                <c:pt idx="179">
                  <c:v>3.5319999999999997E-2</c:v>
                </c:pt>
                <c:pt idx="180">
                  <c:v>3.5389999999999998E-2</c:v>
                </c:pt>
                <c:pt idx="181">
                  <c:v>3.5459999999999998E-2</c:v>
                </c:pt>
                <c:pt idx="182">
                  <c:v>3.5529999999999999E-2</c:v>
                </c:pt>
                <c:pt idx="183">
                  <c:v>3.5610000000000003E-2</c:v>
                </c:pt>
                <c:pt idx="184">
                  <c:v>3.5680000000000003E-2</c:v>
                </c:pt>
                <c:pt idx="185">
                  <c:v>3.576E-2</c:v>
                </c:pt>
                <c:pt idx="186">
                  <c:v>3.5810000000000002E-2</c:v>
                </c:pt>
                <c:pt idx="187">
                  <c:v>3.5889999999999998E-2</c:v>
                </c:pt>
                <c:pt idx="188">
                  <c:v>3.5970000000000002E-2</c:v>
                </c:pt>
                <c:pt idx="189">
                  <c:v>3.6040000000000003E-2</c:v>
                </c:pt>
                <c:pt idx="190">
                  <c:v>3.6110000000000003E-2</c:v>
                </c:pt>
                <c:pt idx="191">
                  <c:v>3.6170000000000001E-2</c:v>
                </c:pt>
                <c:pt idx="192">
                  <c:v>3.6240000000000001E-2</c:v>
                </c:pt>
                <c:pt idx="193">
                  <c:v>3.6310000000000002E-2</c:v>
                </c:pt>
                <c:pt idx="194">
                  <c:v>3.6380000000000003E-2</c:v>
                </c:pt>
                <c:pt idx="195">
                  <c:v>3.644E-2</c:v>
                </c:pt>
                <c:pt idx="196">
                  <c:v>3.6519999999999997E-2</c:v>
                </c:pt>
                <c:pt idx="197">
                  <c:v>3.6560000000000002E-2</c:v>
                </c:pt>
                <c:pt idx="198">
                  <c:v>3.6630000000000003E-2</c:v>
                </c:pt>
                <c:pt idx="199">
                  <c:v>3.6700000000000003E-2</c:v>
                </c:pt>
                <c:pt idx="200">
                  <c:v>3.6769999999999997E-2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2C-435A-9429-C34B4FFF6C11}"/>
            </c:ext>
          </c:extLst>
        </c:ser>
        <c:ser>
          <c:idx val="2"/>
          <c:order val="4"/>
          <c:tx>
            <c:v>PVDF/BTO/3wt.%MWCNT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dielectric constant &amp; loss'!$AJ$25:$AJ$225</c:f>
              <c:numCache>
                <c:formatCode>General</c:formatCode>
                <c:ptCount val="201"/>
                <c:pt idx="0">
                  <c:v>1000</c:v>
                </c:pt>
                <c:pt idx="1">
                  <c:v>5995</c:v>
                </c:pt>
                <c:pt idx="2">
                  <c:v>10990</c:v>
                </c:pt>
                <c:pt idx="3">
                  <c:v>15985</c:v>
                </c:pt>
                <c:pt idx="4">
                  <c:v>20980</c:v>
                </c:pt>
                <c:pt idx="5">
                  <c:v>25975</c:v>
                </c:pt>
                <c:pt idx="6">
                  <c:v>30970</c:v>
                </c:pt>
                <c:pt idx="7">
                  <c:v>35965</c:v>
                </c:pt>
                <c:pt idx="8">
                  <c:v>40960</c:v>
                </c:pt>
                <c:pt idx="9">
                  <c:v>45955</c:v>
                </c:pt>
                <c:pt idx="10">
                  <c:v>50950</c:v>
                </c:pt>
                <c:pt idx="11">
                  <c:v>55945</c:v>
                </c:pt>
                <c:pt idx="12">
                  <c:v>60940</c:v>
                </c:pt>
                <c:pt idx="13">
                  <c:v>65935</c:v>
                </c:pt>
                <c:pt idx="14">
                  <c:v>70930</c:v>
                </c:pt>
                <c:pt idx="15">
                  <c:v>75925</c:v>
                </c:pt>
                <c:pt idx="16">
                  <c:v>80920</c:v>
                </c:pt>
                <c:pt idx="17">
                  <c:v>85915</c:v>
                </c:pt>
                <c:pt idx="18">
                  <c:v>90910</c:v>
                </c:pt>
                <c:pt idx="19">
                  <c:v>95905</c:v>
                </c:pt>
                <c:pt idx="20">
                  <c:v>100900</c:v>
                </c:pt>
                <c:pt idx="21">
                  <c:v>105900</c:v>
                </c:pt>
                <c:pt idx="22">
                  <c:v>110890</c:v>
                </c:pt>
                <c:pt idx="23">
                  <c:v>115890</c:v>
                </c:pt>
                <c:pt idx="24">
                  <c:v>120880</c:v>
                </c:pt>
                <c:pt idx="25">
                  <c:v>125880</c:v>
                </c:pt>
                <c:pt idx="26">
                  <c:v>130870</c:v>
                </c:pt>
                <c:pt idx="27">
                  <c:v>135870</c:v>
                </c:pt>
                <c:pt idx="28">
                  <c:v>140860</c:v>
                </c:pt>
                <c:pt idx="29">
                  <c:v>145860</c:v>
                </c:pt>
                <c:pt idx="30">
                  <c:v>150850</c:v>
                </c:pt>
                <c:pt idx="31">
                  <c:v>155850</c:v>
                </c:pt>
                <c:pt idx="32">
                  <c:v>160840</c:v>
                </c:pt>
                <c:pt idx="33">
                  <c:v>165840</c:v>
                </c:pt>
                <c:pt idx="34">
                  <c:v>170830</c:v>
                </c:pt>
                <c:pt idx="35">
                  <c:v>175830</c:v>
                </c:pt>
                <c:pt idx="36">
                  <c:v>180820</c:v>
                </c:pt>
                <c:pt idx="37">
                  <c:v>185820</c:v>
                </c:pt>
                <c:pt idx="38">
                  <c:v>190810</c:v>
                </c:pt>
                <c:pt idx="39">
                  <c:v>195810</c:v>
                </c:pt>
                <c:pt idx="40">
                  <c:v>200800</c:v>
                </c:pt>
                <c:pt idx="41">
                  <c:v>205800</c:v>
                </c:pt>
                <c:pt idx="42">
                  <c:v>210790</c:v>
                </c:pt>
                <c:pt idx="43">
                  <c:v>215790</c:v>
                </c:pt>
                <c:pt idx="44">
                  <c:v>220780</c:v>
                </c:pt>
                <c:pt idx="45">
                  <c:v>225780</c:v>
                </c:pt>
                <c:pt idx="46">
                  <c:v>230770</c:v>
                </c:pt>
                <c:pt idx="47">
                  <c:v>235770</c:v>
                </c:pt>
                <c:pt idx="48">
                  <c:v>240760</c:v>
                </c:pt>
                <c:pt idx="49">
                  <c:v>245760</c:v>
                </c:pt>
                <c:pt idx="50">
                  <c:v>250750</c:v>
                </c:pt>
                <c:pt idx="51">
                  <c:v>255750</c:v>
                </c:pt>
                <c:pt idx="52">
                  <c:v>260740</c:v>
                </c:pt>
                <c:pt idx="53">
                  <c:v>265740</c:v>
                </c:pt>
                <c:pt idx="54">
                  <c:v>270730</c:v>
                </c:pt>
                <c:pt idx="55">
                  <c:v>275730</c:v>
                </c:pt>
                <c:pt idx="56">
                  <c:v>280720</c:v>
                </c:pt>
                <c:pt idx="57">
                  <c:v>285720</c:v>
                </c:pt>
                <c:pt idx="58">
                  <c:v>290710</c:v>
                </c:pt>
                <c:pt idx="59">
                  <c:v>295710</c:v>
                </c:pt>
                <c:pt idx="60">
                  <c:v>300700</c:v>
                </c:pt>
                <c:pt idx="61">
                  <c:v>305700</c:v>
                </c:pt>
                <c:pt idx="62">
                  <c:v>310690</c:v>
                </c:pt>
                <c:pt idx="63">
                  <c:v>315690</c:v>
                </c:pt>
                <c:pt idx="64">
                  <c:v>320680</c:v>
                </c:pt>
                <c:pt idx="65">
                  <c:v>325680</c:v>
                </c:pt>
                <c:pt idx="66">
                  <c:v>330670</c:v>
                </c:pt>
                <c:pt idx="67">
                  <c:v>335670</c:v>
                </c:pt>
                <c:pt idx="68">
                  <c:v>340660</c:v>
                </c:pt>
                <c:pt idx="69">
                  <c:v>345660</c:v>
                </c:pt>
                <c:pt idx="70">
                  <c:v>350650</c:v>
                </c:pt>
                <c:pt idx="71">
                  <c:v>355650</c:v>
                </c:pt>
                <c:pt idx="72">
                  <c:v>360640</c:v>
                </c:pt>
                <c:pt idx="73">
                  <c:v>365640</c:v>
                </c:pt>
                <c:pt idx="74">
                  <c:v>370630</c:v>
                </c:pt>
                <c:pt idx="75">
                  <c:v>375630</c:v>
                </c:pt>
                <c:pt idx="76">
                  <c:v>380620</c:v>
                </c:pt>
                <c:pt idx="77">
                  <c:v>385620</c:v>
                </c:pt>
                <c:pt idx="78">
                  <c:v>390610</c:v>
                </c:pt>
                <c:pt idx="79">
                  <c:v>395610</c:v>
                </c:pt>
                <c:pt idx="80">
                  <c:v>400600</c:v>
                </c:pt>
                <c:pt idx="81">
                  <c:v>405600</c:v>
                </c:pt>
                <c:pt idx="82">
                  <c:v>410590</c:v>
                </c:pt>
                <c:pt idx="83">
                  <c:v>415590</c:v>
                </c:pt>
                <c:pt idx="84">
                  <c:v>420580</c:v>
                </c:pt>
                <c:pt idx="85">
                  <c:v>425580</c:v>
                </c:pt>
                <c:pt idx="86">
                  <c:v>430570</c:v>
                </c:pt>
                <c:pt idx="87">
                  <c:v>435570</c:v>
                </c:pt>
                <c:pt idx="88">
                  <c:v>440560</c:v>
                </c:pt>
                <c:pt idx="89">
                  <c:v>445560</c:v>
                </c:pt>
                <c:pt idx="90">
                  <c:v>450550</c:v>
                </c:pt>
                <c:pt idx="91">
                  <c:v>455550</c:v>
                </c:pt>
                <c:pt idx="92">
                  <c:v>460540</c:v>
                </c:pt>
                <c:pt idx="93">
                  <c:v>465540</c:v>
                </c:pt>
                <c:pt idx="94">
                  <c:v>470530</c:v>
                </c:pt>
                <c:pt idx="95">
                  <c:v>475530</c:v>
                </c:pt>
                <c:pt idx="96">
                  <c:v>480520</c:v>
                </c:pt>
                <c:pt idx="97">
                  <c:v>485520</c:v>
                </c:pt>
                <c:pt idx="98">
                  <c:v>490510</c:v>
                </c:pt>
                <c:pt idx="99">
                  <c:v>495510</c:v>
                </c:pt>
                <c:pt idx="100">
                  <c:v>500500</c:v>
                </c:pt>
                <c:pt idx="101">
                  <c:v>505500</c:v>
                </c:pt>
                <c:pt idx="102">
                  <c:v>510490</c:v>
                </c:pt>
                <c:pt idx="103">
                  <c:v>515490</c:v>
                </c:pt>
                <c:pt idx="104">
                  <c:v>520480</c:v>
                </c:pt>
                <c:pt idx="105">
                  <c:v>525480</c:v>
                </c:pt>
                <c:pt idx="106">
                  <c:v>530470</c:v>
                </c:pt>
                <c:pt idx="107">
                  <c:v>535470</c:v>
                </c:pt>
                <c:pt idx="108">
                  <c:v>540460</c:v>
                </c:pt>
                <c:pt idx="109">
                  <c:v>545460</c:v>
                </c:pt>
                <c:pt idx="110">
                  <c:v>550450</c:v>
                </c:pt>
                <c:pt idx="111">
                  <c:v>555450</c:v>
                </c:pt>
                <c:pt idx="112">
                  <c:v>560440</c:v>
                </c:pt>
                <c:pt idx="113">
                  <c:v>565440</c:v>
                </c:pt>
                <c:pt idx="114">
                  <c:v>570430</c:v>
                </c:pt>
                <c:pt idx="115">
                  <c:v>575430</c:v>
                </c:pt>
                <c:pt idx="116">
                  <c:v>580420</c:v>
                </c:pt>
                <c:pt idx="117">
                  <c:v>585420</c:v>
                </c:pt>
                <c:pt idx="118">
                  <c:v>590410</c:v>
                </c:pt>
                <c:pt idx="119">
                  <c:v>595410</c:v>
                </c:pt>
                <c:pt idx="120">
                  <c:v>600400</c:v>
                </c:pt>
                <c:pt idx="121">
                  <c:v>605400</c:v>
                </c:pt>
                <c:pt idx="122">
                  <c:v>610390</c:v>
                </c:pt>
                <c:pt idx="123">
                  <c:v>615390</c:v>
                </c:pt>
                <c:pt idx="124">
                  <c:v>620380</c:v>
                </c:pt>
                <c:pt idx="125">
                  <c:v>625380</c:v>
                </c:pt>
                <c:pt idx="126">
                  <c:v>630370</c:v>
                </c:pt>
                <c:pt idx="127">
                  <c:v>635370</c:v>
                </c:pt>
                <c:pt idx="128">
                  <c:v>640360</c:v>
                </c:pt>
                <c:pt idx="129">
                  <c:v>645360</c:v>
                </c:pt>
                <c:pt idx="130">
                  <c:v>650350</c:v>
                </c:pt>
                <c:pt idx="131">
                  <c:v>655350</c:v>
                </c:pt>
                <c:pt idx="132">
                  <c:v>660340</c:v>
                </c:pt>
                <c:pt idx="133">
                  <c:v>665340</c:v>
                </c:pt>
                <c:pt idx="134">
                  <c:v>670330</c:v>
                </c:pt>
                <c:pt idx="135">
                  <c:v>675330</c:v>
                </c:pt>
                <c:pt idx="136">
                  <c:v>680320</c:v>
                </c:pt>
                <c:pt idx="137">
                  <c:v>685320</c:v>
                </c:pt>
                <c:pt idx="138">
                  <c:v>690310</c:v>
                </c:pt>
                <c:pt idx="139">
                  <c:v>695310</c:v>
                </c:pt>
                <c:pt idx="140">
                  <c:v>700300</c:v>
                </c:pt>
                <c:pt idx="141">
                  <c:v>705300</c:v>
                </c:pt>
                <c:pt idx="142">
                  <c:v>710290</c:v>
                </c:pt>
                <c:pt idx="143">
                  <c:v>715290</c:v>
                </c:pt>
                <c:pt idx="144">
                  <c:v>720280</c:v>
                </c:pt>
                <c:pt idx="145">
                  <c:v>725280</c:v>
                </c:pt>
                <c:pt idx="146">
                  <c:v>730270</c:v>
                </c:pt>
                <c:pt idx="147">
                  <c:v>735270</c:v>
                </c:pt>
                <c:pt idx="148">
                  <c:v>740260</c:v>
                </c:pt>
                <c:pt idx="149">
                  <c:v>745260</c:v>
                </c:pt>
                <c:pt idx="150">
                  <c:v>750250</c:v>
                </c:pt>
                <c:pt idx="151">
                  <c:v>755250</c:v>
                </c:pt>
                <c:pt idx="152">
                  <c:v>760240</c:v>
                </c:pt>
                <c:pt idx="153">
                  <c:v>765240</c:v>
                </c:pt>
                <c:pt idx="154">
                  <c:v>770230</c:v>
                </c:pt>
                <c:pt idx="155">
                  <c:v>775230</c:v>
                </c:pt>
                <c:pt idx="156">
                  <c:v>780220</c:v>
                </c:pt>
                <c:pt idx="157">
                  <c:v>785220</c:v>
                </c:pt>
                <c:pt idx="158">
                  <c:v>790210</c:v>
                </c:pt>
                <c:pt idx="159">
                  <c:v>795210</c:v>
                </c:pt>
                <c:pt idx="160">
                  <c:v>800200</c:v>
                </c:pt>
                <c:pt idx="161">
                  <c:v>805200</c:v>
                </c:pt>
                <c:pt idx="162">
                  <c:v>810190</c:v>
                </c:pt>
                <c:pt idx="163">
                  <c:v>815190</c:v>
                </c:pt>
                <c:pt idx="164">
                  <c:v>820180</c:v>
                </c:pt>
                <c:pt idx="165">
                  <c:v>825180</c:v>
                </c:pt>
                <c:pt idx="166">
                  <c:v>830170</c:v>
                </c:pt>
                <c:pt idx="167">
                  <c:v>835170</c:v>
                </c:pt>
                <c:pt idx="168">
                  <c:v>840160</c:v>
                </c:pt>
                <c:pt idx="169">
                  <c:v>845160</c:v>
                </c:pt>
                <c:pt idx="170">
                  <c:v>850150</c:v>
                </c:pt>
                <c:pt idx="171">
                  <c:v>855150</c:v>
                </c:pt>
                <c:pt idx="172">
                  <c:v>860140</c:v>
                </c:pt>
                <c:pt idx="173">
                  <c:v>865140</c:v>
                </c:pt>
                <c:pt idx="174">
                  <c:v>870130</c:v>
                </c:pt>
                <c:pt idx="175">
                  <c:v>875130</c:v>
                </c:pt>
                <c:pt idx="176">
                  <c:v>880120</c:v>
                </c:pt>
                <c:pt idx="177">
                  <c:v>885120</c:v>
                </c:pt>
                <c:pt idx="178">
                  <c:v>890110</c:v>
                </c:pt>
                <c:pt idx="179">
                  <c:v>895110</c:v>
                </c:pt>
                <c:pt idx="180">
                  <c:v>900100</c:v>
                </c:pt>
                <c:pt idx="181">
                  <c:v>905100</c:v>
                </c:pt>
                <c:pt idx="182">
                  <c:v>910090</c:v>
                </c:pt>
                <c:pt idx="183">
                  <c:v>915090</c:v>
                </c:pt>
                <c:pt idx="184">
                  <c:v>920080</c:v>
                </c:pt>
                <c:pt idx="185">
                  <c:v>925080</c:v>
                </c:pt>
                <c:pt idx="186">
                  <c:v>930070</c:v>
                </c:pt>
                <c:pt idx="187">
                  <c:v>935070</c:v>
                </c:pt>
                <c:pt idx="188">
                  <c:v>940060</c:v>
                </c:pt>
                <c:pt idx="189">
                  <c:v>945060</c:v>
                </c:pt>
                <c:pt idx="190">
                  <c:v>950050</c:v>
                </c:pt>
                <c:pt idx="191">
                  <c:v>955050</c:v>
                </c:pt>
                <c:pt idx="192">
                  <c:v>960040</c:v>
                </c:pt>
                <c:pt idx="193">
                  <c:v>965040</c:v>
                </c:pt>
                <c:pt idx="194">
                  <c:v>970030</c:v>
                </c:pt>
                <c:pt idx="195">
                  <c:v>975030</c:v>
                </c:pt>
                <c:pt idx="196">
                  <c:v>980020</c:v>
                </c:pt>
                <c:pt idx="197">
                  <c:v>985020</c:v>
                </c:pt>
                <c:pt idx="198">
                  <c:v>990010</c:v>
                </c:pt>
                <c:pt idx="199">
                  <c:v>995010</c:v>
                </c:pt>
                <c:pt idx="200">
                  <c:v>1000000</c:v>
                </c:pt>
              </c:numCache>
            </c:numRef>
          </c:xVal>
          <c:yVal>
            <c:numRef>
              <c:f>'All dielectric constant &amp; loss'!$AO$25:$AO$225</c:f>
              <c:numCache>
                <c:formatCode>General</c:formatCode>
                <c:ptCount val="201"/>
                <c:pt idx="0">
                  <c:v>6.5700000000000003E-3</c:v>
                </c:pt>
                <c:pt idx="1">
                  <c:v>6.2300000000000003E-3</c:v>
                </c:pt>
                <c:pt idx="2">
                  <c:v>6.8500000000000002E-3</c:v>
                </c:pt>
                <c:pt idx="3">
                  <c:v>7.45E-3</c:v>
                </c:pt>
                <c:pt idx="4">
                  <c:v>8.2799999999999992E-3</c:v>
                </c:pt>
                <c:pt idx="5">
                  <c:v>8.5100000000000002E-3</c:v>
                </c:pt>
                <c:pt idx="6">
                  <c:v>8.8800000000000007E-3</c:v>
                </c:pt>
                <c:pt idx="7">
                  <c:v>9.5999999999999992E-3</c:v>
                </c:pt>
                <c:pt idx="8">
                  <c:v>9.9100000000000004E-3</c:v>
                </c:pt>
                <c:pt idx="9">
                  <c:v>1.031E-2</c:v>
                </c:pt>
                <c:pt idx="10">
                  <c:v>1.072E-2</c:v>
                </c:pt>
                <c:pt idx="11">
                  <c:v>1.1259999999999999E-2</c:v>
                </c:pt>
                <c:pt idx="12">
                  <c:v>1.1599999999999999E-2</c:v>
                </c:pt>
                <c:pt idx="13">
                  <c:v>1.189E-2</c:v>
                </c:pt>
                <c:pt idx="14">
                  <c:v>1.2200000000000001E-2</c:v>
                </c:pt>
                <c:pt idx="15">
                  <c:v>1.2579999999999999E-2</c:v>
                </c:pt>
                <c:pt idx="16">
                  <c:v>1.2930000000000001E-2</c:v>
                </c:pt>
                <c:pt idx="17">
                  <c:v>1.328E-2</c:v>
                </c:pt>
                <c:pt idx="18">
                  <c:v>1.3610000000000001E-2</c:v>
                </c:pt>
                <c:pt idx="19">
                  <c:v>1.3939999999999999E-2</c:v>
                </c:pt>
                <c:pt idx="20">
                  <c:v>1.423E-2</c:v>
                </c:pt>
                <c:pt idx="21">
                  <c:v>1.456E-2</c:v>
                </c:pt>
                <c:pt idx="22">
                  <c:v>1.4829999999999999E-2</c:v>
                </c:pt>
                <c:pt idx="23">
                  <c:v>1.508E-2</c:v>
                </c:pt>
                <c:pt idx="24">
                  <c:v>1.5339999999999999E-2</c:v>
                </c:pt>
                <c:pt idx="25">
                  <c:v>1.5630000000000002E-2</c:v>
                </c:pt>
                <c:pt idx="26">
                  <c:v>1.5869999999999999E-2</c:v>
                </c:pt>
                <c:pt idx="27">
                  <c:v>1.6080000000000001E-2</c:v>
                </c:pt>
                <c:pt idx="28">
                  <c:v>1.644E-2</c:v>
                </c:pt>
                <c:pt idx="29">
                  <c:v>1.6709999999999999E-2</c:v>
                </c:pt>
                <c:pt idx="30">
                  <c:v>1.6910000000000001E-2</c:v>
                </c:pt>
                <c:pt idx="31">
                  <c:v>1.7180000000000001E-2</c:v>
                </c:pt>
                <c:pt idx="32">
                  <c:v>1.7420000000000001E-2</c:v>
                </c:pt>
                <c:pt idx="33">
                  <c:v>1.7569999999999999E-2</c:v>
                </c:pt>
                <c:pt idx="34">
                  <c:v>1.7829999999999999E-2</c:v>
                </c:pt>
                <c:pt idx="35">
                  <c:v>1.8079999999999999E-2</c:v>
                </c:pt>
                <c:pt idx="36">
                  <c:v>1.8270000000000002E-2</c:v>
                </c:pt>
                <c:pt idx="37">
                  <c:v>1.8489999999999999E-2</c:v>
                </c:pt>
                <c:pt idx="38">
                  <c:v>1.8689999999999998E-2</c:v>
                </c:pt>
                <c:pt idx="39">
                  <c:v>1.89E-2</c:v>
                </c:pt>
                <c:pt idx="40">
                  <c:v>1.9140000000000001E-2</c:v>
                </c:pt>
                <c:pt idx="41">
                  <c:v>1.9380000000000001E-2</c:v>
                </c:pt>
                <c:pt idx="42">
                  <c:v>1.958E-2</c:v>
                </c:pt>
                <c:pt idx="43">
                  <c:v>1.9769999999999999E-2</c:v>
                </c:pt>
                <c:pt idx="44">
                  <c:v>1.9980000000000001E-2</c:v>
                </c:pt>
                <c:pt idx="45">
                  <c:v>2.0140000000000002E-2</c:v>
                </c:pt>
                <c:pt idx="46">
                  <c:v>2.035E-2</c:v>
                </c:pt>
                <c:pt idx="47">
                  <c:v>2.0559999999999998E-2</c:v>
                </c:pt>
                <c:pt idx="48">
                  <c:v>2.0719999999999999E-2</c:v>
                </c:pt>
                <c:pt idx="49">
                  <c:v>2.0899999999999998E-2</c:v>
                </c:pt>
                <c:pt idx="50">
                  <c:v>2.1069999999999998E-2</c:v>
                </c:pt>
                <c:pt idx="51">
                  <c:v>2.1270000000000001E-2</c:v>
                </c:pt>
                <c:pt idx="52">
                  <c:v>2.1440000000000001E-2</c:v>
                </c:pt>
                <c:pt idx="53">
                  <c:v>2.1610000000000001E-2</c:v>
                </c:pt>
                <c:pt idx="54">
                  <c:v>2.1770000000000001E-2</c:v>
                </c:pt>
                <c:pt idx="55">
                  <c:v>2.1930000000000002E-2</c:v>
                </c:pt>
                <c:pt idx="56">
                  <c:v>2.2100000000000002E-2</c:v>
                </c:pt>
                <c:pt idx="57">
                  <c:v>2.2249999999999999E-2</c:v>
                </c:pt>
                <c:pt idx="58">
                  <c:v>2.2409999999999999E-2</c:v>
                </c:pt>
                <c:pt idx="59">
                  <c:v>2.2579999999999999E-2</c:v>
                </c:pt>
                <c:pt idx="60">
                  <c:v>2.2790000000000001E-2</c:v>
                </c:pt>
                <c:pt idx="61">
                  <c:v>2.2950000000000002E-2</c:v>
                </c:pt>
                <c:pt idx="62">
                  <c:v>2.3099999999999999E-2</c:v>
                </c:pt>
                <c:pt idx="63">
                  <c:v>2.3259999999999999E-2</c:v>
                </c:pt>
                <c:pt idx="64">
                  <c:v>2.3400000000000001E-2</c:v>
                </c:pt>
                <c:pt idx="65">
                  <c:v>2.3560000000000001E-2</c:v>
                </c:pt>
                <c:pt idx="66">
                  <c:v>2.3720000000000001E-2</c:v>
                </c:pt>
                <c:pt idx="67">
                  <c:v>2.3869999999999999E-2</c:v>
                </c:pt>
                <c:pt idx="68">
                  <c:v>2.401E-2</c:v>
                </c:pt>
                <c:pt idx="69">
                  <c:v>2.4160000000000001E-2</c:v>
                </c:pt>
                <c:pt idx="70">
                  <c:v>2.4320000000000001E-2</c:v>
                </c:pt>
                <c:pt idx="71">
                  <c:v>2.443E-2</c:v>
                </c:pt>
                <c:pt idx="72">
                  <c:v>2.46E-2</c:v>
                </c:pt>
                <c:pt idx="73">
                  <c:v>2.4740000000000002E-2</c:v>
                </c:pt>
                <c:pt idx="74">
                  <c:v>2.4879999999999999E-2</c:v>
                </c:pt>
                <c:pt idx="75">
                  <c:v>2.5010000000000001E-2</c:v>
                </c:pt>
                <c:pt idx="76">
                  <c:v>2.5139999999999999E-2</c:v>
                </c:pt>
                <c:pt idx="77">
                  <c:v>2.53E-2</c:v>
                </c:pt>
                <c:pt idx="78">
                  <c:v>2.5420000000000002E-2</c:v>
                </c:pt>
                <c:pt idx="79">
                  <c:v>2.555E-2</c:v>
                </c:pt>
                <c:pt idx="80">
                  <c:v>2.5700000000000001E-2</c:v>
                </c:pt>
                <c:pt idx="81">
                  <c:v>2.5819999999999999E-2</c:v>
                </c:pt>
                <c:pt idx="82">
                  <c:v>2.598E-2</c:v>
                </c:pt>
                <c:pt idx="83">
                  <c:v>2.6089999999999999E-2</c:v>
                </c:pt>
                <c:pt idx="84">
                  <c:v>2.623E-2</c:v>
                </c:pt>
                <c:pt idx="85">
                  <c:v>2.6360000000000001E-2</c:v>
                </c:pt>
                <c:pt idx="86">
                  <c:v>2.648E-2</c:v>
                </c:pt>
                <c:pt idx="87">
                  <c:v>2.6589999999999999E-2</c:v>
                </c:pt>
                <c:pt idx="88">
                  <c:v>2.6720000000000001E-2</c:v>
                </c:pt>
                <c:pt idx="89">
                  <c:v>2.6849999999999999E-2</c:v>
                </c:pt>
                <c:pt idx="90">
                  <c:v>2.6970000000000001E-2</c:v>
                </c:pt>
                <c:pt idx="91">
                  <c:v>2.7089999999999999E-2</c:v>
                </c:pt>
                <c:pt idx="92">
                  <c:v>2.7210000000000002E-2</c:v>
                </c:pt>
                <c:pt idx="93">
                  <c:v>2.733E-2</c:v>
                </c:pt>
                <c:pt idx="94">
                  <c:v>2.7449999999999999E-2</c:v>
                </c:pt>
                <c:pt idx="95">
                  <c:v>2.7560000000000001E-2</c:v>
                </c:pt>
                <c:pt idx="96">
                  <c:v>2.768E-2</c:v>
                </c:pt>
                <c:pt idx="97">
                  <c:v>2.7779999999999999E-2</c:v>
                </c:pt>
                <c:pt idx="98">
                  <c:v>2.7900000000000001E-2</c:v>
                </c:pt>
                <c:pt idx="99">
                  <c:v>2.801E-2</c:v>
                </c:pt>
                <c:pt idx="100">
                  <c:v>2.8139999999999998E-2</c:v>
                </c:pt>
                <c:pt idx="101">
                  <c:v>2.8250000000000001E-2</c:v>
                </c:pt>
                <c:pt idx="102">
                  <c:v>2.836E-2</c:v>
                </c:pt>
                <c:pt idx="103">
                  <c:v>2.8469999999999999E-2</c:v>
                </c:pt>
                <c:pt idx="104">
                  <c:v>2.8580000000000001E-2</c:v>
                </c:pt>
                <c:pt idx="105">
                  <c:v>2.87E-2</c:v>
                </c:pt>
                <c:pt idx="106">
                  <c:v>2.8809999999999999E-2</c:v>
                </c:pt>
                <c:pt idx="107">
                  <c:v>2.8910000000000002E-2</c:v>
                </c:pt>
                <c:pt idx="108">
                  <c:v>2.9020000000000001E-2</c:v>
                </c:pt>
                <c:pt idx="109">
                  <c:v>2.912E-2</c:v>
                </c:pt>
                <c:pt idx="110">
                  <c:v>2.921E-2</c:v>
                </c:pt>
                <c:pt idx="111">
                  <c:v>2.9329999999999998E-2</c:v>
                </c:pt>
                <c:pt idx="112">
                  <c:v>2.9420000000000002E-2</c:v>
                </c:pt>
                <c:pt idx="113">
                  <c:v>2.9530000000000001E-2</c:v>
                </c:pt>
                <c:pt idx="114">
                  <c:v>2.963E-2</c:v>
                </c:pt>
                <c:pt idx="115">
                  <c:v>2.9729999999999999E-2</c:v>
                </c:pt>
                <c:pt idx="116">
                  <c:v>2.9829999999999999E-2</c:v>
                </c:pt>
                <c:pt idx="117">
                  <c:v>2.9919999999999999E-2</c:v>
                </c:pt>
                <c:pt idx="118">
                  <c:v>3.0020000000000002E-2</c:v>
                </c:pt>
                <c:pt idx="119">
                  <c:v>3.0120000000000001E-2</c:v>
                </c:pt>
                <c:pt idx="120">
                  <c:v>3.022E-2</c:v>
                </c:pt>
                <c:pt idx="121">
                  <c:v>3.031E-2</c:v>
                </c:pt>
                <c:pt idx="122">
                  <c:v>3.041E-2</c:v>
                </c:pt>
                <c:pt idx="123">
                  <c:v>3.0499999999999999E-2</c:v>
                </c:pt>
                <c:pt idx="124">
                  <c:v>3.0589999999999999E-2</c:v>
                </c:pt>
                <c:pt idx="125">
                  <c:v>3.0689999999999999E-2</c:v>
                </c:pt>
                <c:pt idx="126">
                  <c:v>3.0769999999999999E-2</c:v>
                </c:pt>
                <c:pt idx="127">
                  <c:v>3.0859999999999999E-2</c:v>
                </c:pt>
                <c:pt idx="128">
                  <c:v>3.0949999999999998E-2</c:v>
                </c:pt>
                <c:pt idx="129">
                  <c:v>3.1040000000000002E-2</c:v>
                </c:pt>
                <c:pt idx="130">
                  <c:v>3.1140000000000001E-2</c:v>
                </c:pt>
                <c:pt idx="131">
                  <c:v>3.1220000000000001E-2</c:v>
                </c:pt>
                <c:pt idx="132">
                  <c:v>3.1309999999999998E-2</c:v>
                </c:pt>
                <c:pt idx="133">
                  <c:v>3.1390000000000001E-2</c:v>
                </c:pt>
                <c:pt idx="134">
                  <c:v>3.1460000000000002E-2</c:v>
                </c:pt>
                <c:pt idx="135">
                  <c:v>3.1559999999999998E-2</c:v>
                </c:pt>
                <c:pt idx="136">
                  <c:v>3.1640000000000001E-2</c:v>
                </c:pt>
                <c:pt idx="137">
                  <c:v>3.1730000000000001E-2</c:v>
                </c:pt>
                <c:pt idx="138">
                  <c:v>3.1829999999999997E-2</c:v>
                </c:pt>
                <c:pt idx="139">
                  <c:v>3.1910000000000001E-2</c:v>
                </c:pt>
                <c:pt idx="140">
                  <c:v>3.2009999999999997E-2</c:v>
                </c:pt>
                <c:pt idx="141">
                  <c:v>3.2079999999999997E-2</c:v>
                </c:pt>
                <c:pt idx="142">
                  <c:v>3.2140000000000002E-2</c:v>
                </c:pt>
                <c:pt idx="143">
                  <c:v>3.2250000000000001E-2</c:v>
                </c:pt>
                <c:pt idx="144">
                  <c:v>3.2340000000000001E-2</c:v>
                </c:pt>
                <c:pt idx="145">
                  <c:v>3.2419999999999997E-2</c:v>
                </c:pt>
                <c:pt idx="146">
                  <c:v>3.2500000000000001E-2</c:v>
                </c:pt>
                <c:pt idx="147">
                  <c:v>3.2570000000000002E-2</c:v>
                </c:pt>
                <c:pt idx="148">
                  <c:v>3.2660000000000002E-2</c:v>
                </c:pt>
                <c:pt idx="149">
                  <c:v>3.2750000000000001E-2</c:v>
                </c:pt>
                <c:pt idx="150">
                  <c:v>3.2829999999999998E-2</c:v>
                </c:pt>
                <c:pt idx="151">
                  <c:v>3.2910000000000002E-2</c:v>
                </c:pt>
                <c:pt idx="152">
                  <c:v>3.3000000000000002E-2</c:v>
                </c:pt>
                <c:pt idx="153">
                  <c:v>3.3059999999999999E-2</c:v>
                </c:pt>
                <c:pt idx="154">
                  <c:v>3.3140000000000003E-2</c:v>
                </c:pt>
                <c:pt idx="155">
                  <c:v>3.3230000000000003E-2</c:v>
                </c:pt>
                <c:pt idx="156">
                  <c:v>3.3309999999999999E-2</c:v>
                </c:pt>
                <c:pt idx="157">
                  <c:v>3.338E-2</c:v>
                </c:pt>
                <c:pt idx="158">
                  <c:v>3.3439999999999998E-2</c:v>
                </c:pt>
                <c:pt idx="159">
                  <c:v>3.3529999999999997E-2</c:v>
                </c:pt>
                <c:pt idx="160">
                  <c:v>3.3599999999999998E-2</c:v>
                </c:pt>
                <c:pt idx="161">
                  <c:v>3.3669999999999999E-2</c:v>
                </c:pt>
                <c:pt idx="162">
                  <c:v>3.3750000000000002E-2</c:v>
                </c:pt>
                <c:pt idx="163">
                  <c:v>3.381E-2</c:v>
                </c:pt>
                <c:pt idx="164">
                  <c:v>3.3890000000000003E-2</c:v>
                </c:pt>
                <c:pt idx="165">
                  <c:v>3.3930000000000002E-2</c:v>
                </c:pt>
                <c:pt idx="166">
                  <c:v>3.4040000000000001E-2</c:v>
                </c:pt>
                <c:pt idx="167">
                  <c:v>3.4110000000000001E-2</c:v>
                </c:pt>
                <c:pt idx="168">
                  <c:v>3.4139999999999997E-2</c:v>
                </c:pt>
                <c:pt idx="169">
                  <c:v>3.424E-2</c:v>
                </c:pt>
                <c:pt idx="170">
                  <c:v>3.4329999999999999E-2</c:v>
                </c:pt>
                <c:pt idx="171">
                  <c:v>3.4369999999999998E-2</c:v>
                </c:pt>
                <c:pt idx="172">
                  <c:v>3.4450000000000001E-2</c:v>
                </c:pt>
                <c:pt idx="173">
                  <c:v>3.4520000000000002E-2</c:v>
                </c:pt>
                <c:pt idx="174">
                  <c:v>3.4590000000000003E-2</c:v>
                </c:pt>
                <c:pt idx="175">
                  <c:v>3.465E-2</c:v>
                </c:pt>
                <c:pt idx="176">
                  <c:v>3.4709999999999998E-2</c:v>
                </c:pt>
                <c:pt idx="177">
                  <c:v>3.4790000000000001E-2</c:v>
                </c:pt>
                <c:pt idx="178">
                  <c:v>3.4860000000000002E-2</c:v>
                </c:pt>
                <c:pt idx="179">
                  <c:v>3.49E-2</c:v>
                </c:pt>
                <c:pt idx="180">
                  <c:v>3.4959999999999998E-2</c:v>
                </c:pt>
                <c:pt idx="181">
                  <c:v>3.5040000000000002E-2</c:v>
                </c:pt>
                <c:pt idx="182">
                  <c:v>3.5090000000000003E-2</c:v>
                </c:pt>
                <c:pt idx="183">
                  <c:v>3.5159999999999997E-2</c:v>
                </c:pt>
                <c:pt idx="184">
                  <c:v>3.5200000000000002E-2</c:v>
                </c:pt>
                <c:pt idx="185">
                  <c:v>3.5279999999999999E-2</c:v>
                </c:pt>
                <c:pt idx="186">
                  <c:v>3.5349999999999999E-2</c:v>
                </c:pt>
                <c:pt idx="187">
                  <c:v>3.5389999999999998E-2</c:v>
                </c:pt>
                <c:pt idx="188">
                  <c:v>3.5459999999999998E-2</c:v>
                </c:pt>
                <c:pt idx="189">
                  <c:v>3.5520000000000003E-2</c:v>
                </c:pt>
                <c:pt idx="190">
                  <c:v>3.5589999999999997E-2</c:v>
                </c:pt>
                <c:pt idx="191">
                  <c:v>3.5639999999999998E-2</c:v>
                </c:pt>
                <c:pt idx="192">
                  <c:v>3.569E-2</c:v>
                </c:pt>
                <c:pt idx="193">
                  <c:v>3.5749999999999997E-2</c:v>
                </c:pt>
                <c:pt idx="194">
                  <c:v>3.5810000000000002E-2</c:v>
                </c:pt>
                <c:pt idx="195">
                  <c:v>3.5860000000000003E-2</c:v>
                </c:pt>
                <c:pt idx="196">
                  <c:v>3.5909999999999997E-2</c:v>
                </c:pt>
                <c:pt idx="197">
                  <c:v>3.5979999999999998E-2</c:v>
                </c:pt>
                <c:pt idx="198">
                  <c:v>3.603E-2</c:v>
                </c:pt>
                <c:pt idx="199">
                  <c:v>3.6080000000000001E-2</c:v>
                </c:pt>
                <c:pt idx="200">
                  <c:v>3.6150000000000002E-2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C-4C45-B543-39E6872F5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363800"/>
        <c:axId val="535364128"/>
      </c:scatterChart>
      <c:valAx>
        <c:axId val="535363800"/>
        <c:scaling>
          <c:orientation val="minMax"/>
          <c:max val="100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8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 (Hz</a:t>
                </a:r>
                <a:r>
                  <a:rPr lang="tr-TR" sz="2800" b="0" i="0" u="none" strike="noStrike" baseline="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tr-TR" sz="28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742333964486077"/>
              <c:y val="0.90467714186979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35364128"/>
        <c:crosses val="autoZero"/>
        <c:crossBetween val="midCat"/>
        <c:majorUnit val="200000"/>
      </c:valAx>
      <c:valAx>
        <c:axId val="535364128"/>
        <c:scaling>
          <c:orientation val="minMax"/>
          <c:max val="5.000000000000001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Dielectric </a:t>
                </a:r>
                <a:r>
                  <a:rPr lang="tr-TR" sz="2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Loss  </a:t>
                </a:r>
                <a:r>
                  <a:rPr lang="tr-TR" sz="2800" b="0" i="0" baseline="0">
                    <a:effectLst/>
                  </a:rPr>
                  <a:t>(tan</a:t>
                </a:r>
                <a:r>
                  <a:rPr lang="el-GR" sz="2800" b="0" i="0" baseline="0">
                    <a:effectLst/>
                  </a:rPr>
                  <a:t>δ</a:t>
                </a:r>
                <a:r>
                  <a:rPr lang="tr-TR" sz="2800" b="0" i="0" baseline="0">
                    <a:effectLst/>
                  </a:rPr>
                  <a:t>)</a:t>
                </a:r>
                <a:endParaRPr lang="tr-TR" sz="2800">
                  <a:effectLst/>
                </a:endParaRPr>
              </a:p>
            </c:rich>
          </c:tx>
          <c:layout>
            <c:manualLayout>
              <c:xMode val="edge"/>
              <c:yMode val="edge"/>
              <c:x val="3.5868555837313527E-2"/>
              <c:y val="0.2515423626632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8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353638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728567244346197"/>
          <c:y val="4.1126466710362033E-2"/>
          <c:w val="0.78626673163407435"/>
          <c:h val="9.1560784879174753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537883</xdr:colOff>
      <xdr:row>0</xdr:row>
      <xdr:rowOff>112056</xdr:rowOff>
    </xdr:from>
    <xdr:to>
      <xdr:col>60</xdr:col>
      <xdr:colOff>313765</xdr:colOff>
      <xdr:row>29</xdr:row>
      <xdr:rowOff>145677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448236</xdr:colOff>
      <xdr:row>31</xdr:row>
      <xdr:rowOff>86565</xdr:rowOff>
    </xdr:from>
    <xdr:to>
      <xdr:col>60</xdr:col>
      <xdr:colOff>355677</xdr:colOff>
      <xdr:row>72</xdr:row>
      <xdr:rowOff>42662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9"/>
  <sheetViews>
    <sheetView topLeftCell="A4" workbookViewId="0">
      <selection activeCell="AJ28" sqref="AJ28"/>
    </sheetView>
  </sheetViews>
  <sheetFormatPr defaultRowHeight="15" x14ac:dyDescent="0.25"/>
  <cols>
    <col min="3" max="3" width="11.5703125" customWidth="1"/>
    <col min="6" max="6" width="14.140625" customWidth="1"/>
    <col min="7" max="7" width="13.7109375" bestFit="1" customWidth="1"/>
    <col min="8" max="8" width="14" bestFit="1" customWidth="1"/>
    <col min="9" max="9" width="12.42578125" bestFit="1" customWidth="1"/>
    <col min="10" max="10" width="15.5703125" bestFit="1" customWidth="1"/>
    <col min="14" max="14" width="10.28515625" bestFit="1" customWidth="1"/>
    <col min="15" max="16" width="12" bestFit="1" customWidth="1"/>
    <col min="17" max="17" width="8" bestFit="1" customWidth="1"/>
    <col min="18" max="19" width="12" bestFit="1" customWidth="1"/>
    <col min="20" max="20" width="8" bestFit="1" customWidth="1"/>
    <col min="21" max="22" width="12" bestFit="1" customWidth="1"/>
    <col min="23" max="23" width="8" bestFit="1" customWidth="1"/>
    <col min="24" max="25" width="12" bestFit="1" customWidth="1"/>
    <col min="26" max="26" width="8" bestFit="1" customWidth="1"/>
  </cols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>
        <v>1000</v>
      </c>
      <c r="B2" s="1">
        <v>4.0000000000000002E-9</v>
      </c>
      <c r="C2">
        <v>3.7269999999999998E-2</v>
      </c>
      <c r="J2" t="s">
        <v>3</v>
      </c>
      <c r="K2" t="s">
        <v>4</v>
      </c>
    </row>
    <row r="3" spans="1:11" x14ac:dyDescent="0.25">
      <c r="A3">
        <v>10000</v>
      </c>
      <c r="B3" s="1">
        <v>3.7799999999999998E-9</v>
      </c>
      <c r="C3">
        <v>4.2229999999999997E-2</v>
      </c>
      <c r="J3" t="s">
        <v>5</v>
      </c>
      <c r="K3" t="s">
        <v>6</v>
      </c>
    </row>
    <row r="4" spans="1:11" x14ac:dyDescent="0.25">
      <c r="A4">
        <v>100000</v>
      </c>
      <c r="B4" s="1">
        <v>3.5400000000000002E-9</v>
      </c>
      <c r="C4">
        <v>4.9059999999999999E-2</v>
      </c>
      <c r="J4" t="s">
        <v>7</v>
      </c>
      <c r="K4" t="s">
        <v>8</v>
      </c>
    </row>
    <row r="5" spans="1:11" x14ac:dyDescent="0.25">
      <c r="A5">
        <v>1000000</v>
      </c>
      <c r="B5" s="1">
        <v>3.2700000000000001E-9</v>
      </c>
      <c r="C5">
        <v>5.7840000000000003E-2</v>
      </c>
      <c r="J5" t="s">
        <v>9</v>
      </c>
      <c r="K5" t="s">
        <v>10</v>
      </c>
    </row>
    <row r="6" spans="1:11" x14ac:dyDescent="0.25">
      <c r="J6" t="s">
        <v>11</v>
      </c>
      <c r="K6" t="s">
        <v>10</v>
      </c>
    </row>
    <row r="7" spans="1:11" x14ac:dyDescent="0.25">
      <c r="J7" t="s">
        <v>12</v>
      </c>
      <c r="K7" t="s">
        <v>13</v>
      </c>
    </row>
    <row r="8" spans="1:11" x14ac:dyDescent="0.25">
      <c r="J8" t="s">
        <v>14</v>
      </c>
      <c r="K8">
        <v>16</v>
      </c>
    </row>
    <row r="9" spans="1:11" x14ac:dyDescent="0.25">
      <c r="J9" t="s">
        <v>15</v>
      </c>
      <c r="K9" t="s">
        <v>16</v>
      </c>
    </row>
    <row r="13" spans="1:11" x14ac:dyDescent="0.25">
      <c r="D13" s="1"/>
    </row>
    <row r="14" spans="1:11" x14ac:dyDescent="0.25">
      <c r="D14" s="1"/>
      <c r="G14" s="1"/>
    </row>
    <row r="15" spans="1:11" x14ac:dyDescent="0.25">
      <c r="C15" t="s">
        <v>17</v>
      </c>
    </row>
    <row r="16" spans="1:11" x14ac:dyDescent="0.25">
      <c r="C16" t="s">
        <v>18</v>
      </c>
    </row>
    <row r="17" spans="2:44" ht="26.25" x14ac:dyDescent="0.4">
      <c r="B17" s="1"/>
      <c r="C17" t="s">
        <v>32</v>
      </c>
      <c r="D17" s="16">
        <v>8</v>
      </c>
      <c r="F17" s="4">
        <f>D17*10^-4</f>
        <v>8.0000000000000004E-4</v>
      </c>
      <c r="G17" t="s">
        <v>19</v>
      </c>
      <c r="L17" t="s">
        <v>3</v>
      </c>
      <c r="M17" t="s">
        <v>4</v>
      </c>
    </row>
    <row r="18" spans="2:44" ht="26.25" x14ac:dyDescent="0.4">
      <c r="B18" s="1"/>
      <c r="C18" t="s">
        <v>33</v>
      </c>
      <c r="D18" s="16">
        <v>70</v>
      </c>
      <c r="F18" s="4">
        <f>D18*10^-6</f>
        <v>6.9999999999999994E-5</v>
      </c>
      <c r="G18" t="s">
        <v>20</v>
      </c>
      <c r="H18" t="s">
        <v>21</v>
      </c>
      <c r="I18" s="1">
        <v>8.8539999999999992E-12</v>
      </c>
      <c r="J18" t="s">
        <v>22</v>
      </c>
      <c r="L18" t="s">
        <v>5</v>
      </c>
      <c r="M18" t="s">
        <v>6</v>
      </c>
    </row>
    <row r="19" spans="2:44" x14ac:dyDescent="0.25">
      <c r="B19" s="1"/>
      <c r="H19" t="s">
        <v>23</v>
      </c>
      <c r="J19" t="s">
        <v>25</v>
      </c>
      <c r="L19" t="s">
        <v>7</v>
      </c>
      <c r="M19" t="s">
        <v>8</v>
      </c>
    </row>
    <row r="20" spans="2:44" x14ac:dyDescent="0.25">
      <c r="B20" s="1"/>
      <c r="C20" t="s">
        <v>0</v>
      </c>
      <c r="D20" t="s">
        <v>1</v>
      </c>
      <c r="E20" t="s">
        <v>24</v>
      </c>
      <c r="F20" t="s">
        <v>26</v>
      </c>
      <c r="L20" t="s">
        <v>9</v>
      </c>
      <c r="M20" t="s">
        <v>10</v>
      </c>
    </row>
    <row r="21" spans="2:44" ht="15.75" x14ac:dyDescent="0.25">
      <c r="C21">
        <v>1000</v>
      </c>
      <c r="D21" s="1">
        <v>4.0000000000000002E-9</v>
      </c>
      <c r="E21">
        <v>3.7269999999999998E-2</v>
      </c>
      <c r="F21" s="2">
        <f>(D21*$F$18)/($I$18*$F$17)</f>
        <v>39.530155861757393</v>
      </c>
      <c r="G21">
        <v>5936.3329310076824</v>
      </c>
      <c r="H21" s="3">
        <f>AVERAGE(F21:G21)</f>
        <v>2987.93154343472</v>
      </c>
      <c r="L21" t="s">
        <v>11</v>
      </c>
      <c r="M21" t="s">
        <v>10</v>
      </c>
    </row>
    <row r="22" spans="2:44" ht="15.75" x14ac:dyDescent="0.25">
      <c r="C22">
        <v>10000</v>
      </c>
      <c r="D22" s="1">
        <v>3.7799999999999998E-9</v>
      </c>
      <c r="E22">
        <v>4.2229999999999997E-2</v>
      </c>
      <c r="F22" s="2">
        <f>(D22*$F$18)/($I$18*$F$17)</f>
        <v>37.355997289360737</v>
      </c>
      <c r="G22">
        <v>5638.8649360296049</v>
      </c>
      <c r="H22" s="3">
        <f t="shared" ref="H22:H24" si="0">AVERAGE(F22:G22)</f>
        <v>2838.1104666594829</v>
      </c>
      <c r="L22" t="s">
        <v>12</v>
      </c>
      <c r="M22" t="s">
        <v>13</v>
      </c>
    </row>
    <row r="23" spans="2:44" ht="15.75" x14ac:dyDescent="0.25">
      <c r="C23">
        <v>100000</v>
      </c>
      <c r="D23" s="1">
        <v>3.5400000000000002E-9</v>
      </c>
      <c r="E23">
        <v>4.9059999999999999E-2</v>
      </c>
      <c r="F23" s="2">
        <f>(D23*$F$18)/($I$18*$F$17)</f>
        <v>34.9841879376553</v>
      </c>
      <c r="G23">
        <v>5455.5811523759376</v>
      </c>
      <c r="H23" s="3">
        <f t="shared" si="0"/>
        <v>2745.2826701567965</v>
      </c>
      <c r="L23" t="s">
        <v>14</v>
      </c>
      <c r="M23">
        <v>16</v>
      </c>
    </row>
    <row r="24" spans="2:44" ht="15.75" x14ac:dyDescent="0.25">
      <c r="C24">
        <v>1000000</v>
      </c>
      <c r="D24" s="1">
        <v>3.2700000000000001E-9</v>
      </c>
      <c r="E24">
        <v>5.7840000000000003E-2</v>
      </c>
      <c r="F24" s="2">
        <f>(D24*$F$18)/($I$18*$F$17)</f>
        <v>32.315902416986667</v>
      </c>
      <c r="G24">
        <v>4516.393358635175</v>
      </c>
      <c r="H24" s="3">
        <f t="shared" si="0"/>
        <v>2274.3546305260807</v>
      </c>
      <c r="L24" t="s">
        <v>15</v>
      </c>
      <c r="M24" t="s">
        <v>16</v>
      </c>
    </row>
    <row r="25" spans="2:44" x14ac:dyDescent="0.25">
      <c r="P25">
        <f>P30/O30</f>
        <v>2.2000000000000001E-3</v>
      </c>
    </row>
    <row r="28" spans="2:44" x14ac:dyDescent="0.25">
      <c r="N28" s="9" t="s">
        <v>38</v>
      </c>
      <c r="O28" s="10"/>
      <c r="P28" s="10"/>
      <c r="Q28" s="11"/>
      <c r="R28" s="18" t="s">
        <v>41</v>
      </c>
      <c r="S28" s="19"/>
      <c r="T28" s="20"/>
      <c r="U28" s="18" t="s">
        <v>42</v>
      </c>
      <c r="V28" s="19"/>
      <c r="W28" s="20"/>
      <c r="X28" s="18" t="s">
        <v>43</v>
      </c>
      <c r="Y28" s="19"/>
      <c r="Z28" s="20"/>
      <c r="AA28" s="24" t="s">
        <v>44</v>
      </c>
      <c r="AB28" s="25"/>
      <c r="AC28" s="26"/>
      <c r="AD28" s="24" t="s">
        <v>45</v>
      </c>
      <c r="AE28" s="25"/>
      <c r="AF28" s="26"/>
      <c r="AG28" s="24" t="s">
        <v>46</v>
      </c>
      <c r="AH28" s="25"/>
      <c r="AI28" s="26"/>
      <c r="AJ28" s="30" t="s">
        <v>47</v>
      </c>
      <c r="AK28" s="31"/>
      <c r="AL28" s="32"/>
      <c r="AM28" s="30" t="s">
        <v>48</v>
      </c>
      <c r="AN28" s="31"/>
      <c r="AO28" s="32"/>
      <c r="AP28" s="30" t="s">
        <v>49</v>
      </c>
      <c r="AQ28" s="31"/>
      <c r="AR28" s="32"/>
    </row>
    <row r="29" spans="2:44" ht="30" x14ac:dyDescent="0.25">
      <c r="C29" t="s">
        <v>27</v>
      </c>
      <c r="D29" t="s">
        <v>28</v>
      </c>
      <c r="E29" t="s">
        <v>29</v>
      </c>
      <c r="F29" t="s">
        <v>30</v>
      </c>
      <c r="G29" s="5" t="s">
        <v>34</v>
      </c>
      <c r="H29" s="5" t="s">
        <v>35</v>
      </c>
      <c r="I29" s="7" t="s">
        <v>36</v>
      </c>
      <c r="J29" s="5" t="s">
        <v>31</v>
      </c>
      <c r="K29" s="5" t="s">
        <v>37</v>
      </c>
      <c r="N29" s="12" t="s">
        <v>39</v>
      </c>
      <c r="O29" s="17" t="s">
        <v>40</v>
      </c>
      <c r="P29" s="8" t="s">
        <v>31</v>
      </c>
      <c r="Q29" s="8" t="s">
        <v>37</v>
      </c>
      <c r="R29" s="21" t="s">
        <v>40</v>
      </c>
      <c r="S29" s="22" t="s">
        <v>31</v>
      </c>
      <c r="T29" s="22" t="s">
        <v>37</v>
      </c>
      <c r="U29" s="21" t="s">
        <v>40</v>
      </c>
      <c r="V29" s="22" t="s">
        <v>31</v>
      </c>
      <c r="W29" s="22" t="s">
        <v>37</v>
      </c>
      <c r="X29" s="21" t="s">
        <v>40</v>
      </c>
      <c r="Y29" s="22" t="s">
        <v>31</v>
      </c>
      <c r="Z29" s="22" t="s">
        <v>37</v>
      </c>
      <c r="AA29" s="27" t="s">
        <v>40</v>
      </c>
      <c r="AB29" s="28" t="s">
        <v>31</v>
      </c>
      <c r="AC29" s="28" t="s">
        <v>37</v>
      </c>
      <c r="AD29" s="27" t="s">
        <v>40</v>
      </c>
      <c r="AE29" s="28" t="s">
        <v>31</v>
      </c>
      <c r="AF29" s="28" t="s">
        <v>37</v>
      </c>
      <c r="AG29" s="27" t="s">
        <v>40</v>
      </c>
      <c r="AH29" s="28" t="s">
        <v>31</v>
      </c>
      <c r="AI29" s="28" t="s">
        <v>37</v>
      </c>
      <c r="AJ29" s="33" t="s">
        <v>40</v>
      </c>
      <c r="AK29" s="34" t="s">
        <v>31</v>
      </c>
      <c r="AL29" s="34" t="s">
        <v>37</v>
      </c>
      <c r="AM29" s="33" t="s">
        <v>40</v>
      </c>
      <c r="AN29" s="34" t="s">
        <v>31</v>
      </c>
      <c r="AO29" s="34" t="s">
        <v>37</v>
      </c>
      <c r="AP29" s="33" t="s">
        <v>40</v>
      </c>
      <c r="AQ29" s="34" t="s">
        <v>31</v>
      </c>
      <c r="AR29" s="34" t="s">
        <v>37</v>
      </c>
    </row>
    <row r="30" spans="2:44" x14ac:dyDescent="0.25">
      <c r="C30" s="15">
        <v>1000</v>
      </c>
      <c r="D30" s="1">
        <v>1.1744999999999999E-10</v>
      </c>
      <c r="E30" s="1">
        <v>1.1744999999999999E-10</v>
      </c>
      <c r="F30">
        <v>3.0599999999999998E-3</v>
      </c>
      <c r="G30" s="13">
        <f t="shared" ref="G30:G61" si="1">(D30*$F$18)/($I$18*$F$17)</f>
        <v>1.1607042014908515</v>
      </c>
      <c r="H30" s="13">
        <f t="shared" ref="H30:H61" si="2">(E30*$F$18)/($I$18*$F$17)</f>
        <v>1.1607042014908515</v>
      </c>
      <c r="I30" s="13">
        <f t="shared" ref="I30:I61" si="3">AVERAGE(G30:H30)</f>
        <v>1.1607042014908515</v>
      </c>
      <c r="J30" s="14">
        <f>I30*K30</f>
        <v>3.5517548565620052E-3</v>
      </c>
      <c r="K30" s="14">
        <f>F30</f>
        <v>3.0599999999999998E-3</v>
      </c>
      <c r="N30" s="6">
        <v>1000</v>
      </c>
      <c r="O30" s="6">
        <v>0.85571916647842783</v>
      </c>
      <c r="P30" s="6">
        <v>1.8825821662525413E-3</v>
      </c>
      <c r="Q30" s="6">
        <v>2.2000000000000001E-3</v>
      </c>
      <c r="R30" s="23">
        <v>0.9525976959566298</v>
      </c>
      <c r="S30" s="23">
        <v>3.1721503275355771E-3</v>
      </c>
      <c r="T30" s="23">
        <v>3.3300000000000001E-3</v>
      </c>
      <c r="U30" s="23">
        <v>0.76379673029139372</v>
      </c>
      <c r="V30" s="23">
        <v>2.3372179946916645E-3</v>
      </c>
      <c r="W30" s="23">
        <v>3.0599999999999998E-3</v>
      </c>
      <c r="X30" s="23">
        <v>0.93450276711091029</v>
      </c>
      <c r="Y30" s="23">
        <v>3.0184439377682402E-3</v>
      </c>
      <c r="Z30" s="23">
        <v>3.2299999999999998E-3</v>
      </c>
      <c r="AA30" s="29">
        <v>1.0177532753557714</v>
      </c>
      <c r="AB30" s="29">
        <v>2.2899448695504854E-3</v>
      </c>
      <c r="AC30" s="29">
        <v>2.2499999999999998E-3</v>
      </c>
      <c r="AD30" s="29">
        <v>0.92459058052857457</v>
      </c>
      <c r="AE30" s="29">
        <v>2.0525910887734355E-3</v>
      </c>
      <c r="AF30" s="29">
        <v>2.2200000000000002E-3</v>
      </c>
      <c r="AG30" s="29">
        <v>1.0119719900609894</v>
      </c>
      <c r="AH30" s="29">
        <v>4.3110006776598143E-3</v>
      </c>
      <c r="AI30" s="29">
        <v>4.2599999999999999E-3</v>
      </c>
      <c r="AJ30" s="35">
        <v>0.62056415179579849</v>
      </c>
      <c r="AK30" s="35">
        <v>1.9920109272645132E-3</v>
      </c>
      <c r="AL30" s="35">
        <v>3.2100000000000002E-3</v>
      </c>
      <c r="AM30" s="35">
        <v>0.69044358482042023</v>
      </c>
      <c r="AN30" s="35">
        <v>1.5258803224531287E-3</v>
      </c>
      <c r="AO30" s="35">
        <v>2.2100000000000002E-3</v>
      </c>
      <c r="AP30" s="35">
        <v>1.1607042014908515</v>
      </c>
      <c r="AQ30" s="35">
        <v>3.5517548565620052E-3</v>
      </c>
      <c r="AR30" s="35">
        <v>3.0599999999999998E-3</v>
      </c>
    </row>
    <row r="31" spans="2:44" x14ac:dyDescent="0.25">
      <c r="C31" s="15">
        <v>1072</v>
      </c>
      <c r="D31" s="1">
        <v>1.1678000000000001E-10</v>
      </c>
      <c r="E31" s="1">
        <v>1.1677E-10</v>
      </c>
      <c r="F31">
        <v>3.2699999999999999E-3</v>
      </c>
      <c r="G31" s="13">
        <f t="shared" si="1"/>
        <v>1.1540829003840072</v>
      </c>
      <c r="H31" s="13">
        <f t="shared" si="2"/>
        <v>1.1539840749943528</v>
      </c>
      <c r="I31" s="13">
        <f t="shared" si="3"/>
        <v>1.15403348768918</v>
      </c>
      <c r="J31" s="14">
        <f t="shared" ref="J31:J94" si="4">I31*K31</f>
        <v>3.7736895047436186E-3</v>
      </c>
      <c r="K31" s="14">
        <f t="shared" ref="K31:K94" si="5">F31</f>
        <v>3.2699999999999999E-3</v>
      </c>
      <c r="N31" s="6">
        <v>1072</v>
      </c>
      <c r="O31" s="6">
        <v>0.85550669189067086</v>
      </c>
      <c r="P31" s="6">
        <v>1.9248900567540093E-3</v>
      </c>
      <c r="Q31" s="6">
        <v>2.2499999999999998E-3</v>
      </c>
      <c r="R31" s="23">
        <v>0.94640134402529918</v>
      </c>
      <c r="S31" s="23">
        <v>3.4638289191325951E-3</v>
      </c>
      <c r="T31" s="23">
        <v>3.6600000000000001E-3</v>
      </c>
      <c r="U31" s="23">
        <v>0.75852439575333186</v>
      </c>
      <c r="V31" s="23">
        <v>1.6535831827422635E-3</v>
      </c>
      <c r="W31" s="23">
        <v>2.1800000000000001E-3</v>
      </c>
      <c r="X31" s="23">
        <v>0.93522913372487015</v>
      </c>
      <c r="Y31" s="23">
        <v>3.5445184168172578E-3</v>
      </c>
      <c r="Z31" s="23">
        <v>3.79E-3</v>
      </c>
      <c r="AA31" s="29">
        <v>1.0136520216851141</v>
      </c>
      <c r="AB31" s="29">
        <v>1.8752562401174613E-3</v>
      </c>
      <c r="AC31" s="29">
        <v>1.8500000000000001E-3</v>
      </c>
      <c r="AD31" s="29">
        <v>0.91839916986672687</v>
      </c>
      <c r="AE31" s="29">
        <v>9.4595114496272878E-4</v>
      </c>
      <c r="AF31" s="29">
        <v>1.0300000000000001E-3</v>
      </c>
      <c r="AG31" s="29">
        <v>1.0058448159024169</v>
      </c>
      <c r="AH31" s="29">
        <v>4.2647820194262479E-3</v>
      </c>
      <c r="AI31" s="29">
        <v>4.2399999999999998E-3</v>
      </c>
      <c r="AJ31" s="35">
        <v>0.62025285181838719</v>
      </c>
      <c r="AK31" s="35">
        <v>2.0220242969279422E-3</v>
      </c>
      <c r="AL31" s="35">
        <v>3.2599999999999999E-3</v>
      </c>
      <c r="AM31" s="35">
        <v>0.68661410097131237</v>
      </c>
      <c r="AN31" s="35">
        <v>1.7508659574768466E-3</v>
      </c>
      <c r="AO31" s="35">
        <v>2.5500000000000002E-3</v>
      </c>
      <c r="AP31" s="35">
        <v>1.15403348768918</v>
      </c>
      <c r="AQ31" s="35">
        <v>3.7736895047436186E-3</v>
      </c>
      <c r="AR31" s="35">
        <v>3.2699999999999999E-3</v>
      </c>
    </row>
    <row r="32" spans="2:44" x14ac:dyDescent="0.25">
      <c r="C32" s="15">
        <v>1150</v>
      </c>
      <c r="D32" s="1">
        <v>1.1672999999999999E-10</v>
      </c>
      <c r="E32" s="1">
        <v>1.1672999999999999E-10</v>
      </c>
      <c r="F32">
        <v>2.4299999999999999E-3</v>
      </c>
      <c r="G32" s="13">
        <f t="shared" si="1"/>
        <v>1.1535887734357353</v>
      </c>
      <c r="H32" s="13">
        <f t="shared" si="2"/>
        <v>1.1535887734357353</v>
      </c>
      <c r="I32" s="13">
        <f t="shared" si="3"/>
        <v>1.1535887734357353</v>
      </c>
      <c r="J32" s="14">
        <f t="shared" si="4"/>
        <v>2.8032207194488368E-3</v>
      </c>
      <c r="K32" s="14">
        <f t="shared" si="5"/>
        <v>2.4299999999999999E-3</v>
      </c>
      <c r="N32" s="6">
        <v>1150</v>
      </c>
      <c r="O32" s="6">
        <v>0.85579822679015138</v>
      </c>
      <c r="P32" s="6">
        <v>2.0539157442963632E-3</v>
      </c>
      <c r="Q32" s="6">
        <v>2.3999999999999998E-3</v>
      </c>
      <c r="R32" s="23">
        <v>0.94253727128981246</v>
      </c>
      <c r="S32" s="23">
        <v>2.3751939236503275E-3</v>
      </c>
      <c r="T32" s="23">
        <v>2.5200000000000001E-3</v>
      </c>
      <c r="U32" s="23">
        <v>0.75606858482042005</v>
      </c>
      <c r="V32" s="23">
        <v>2.3438126129433023E-4</v>
      </c>
      <c r="W32" s="23">
        <v>3.1E-4</v>
      </c>
      <c r="X32" s="23">
        <v>0.93522913372487015</v>
      </c>
      <c r="Y32" s="23">
        <v>3.4229386294330247E-3</v>
      </c>
      <c r="Z32" s="23">
        <v>3.6600000000000001E-3</v>
      </c>
      <c r="AA32" s="29">
        <v>1.0124661170092613</v>
      </c>
      <c r="AB32" s="29">
        <v>3.0070243675175061E-3</v>
      </c>
      <c r="AC32" s="29">
        <v>2.97E-3</v>
      </c>
      <c r="AD32" s="29">
        <v>0.91682784617122204</v>
      </c>
      <c r="AE32" s="29">
        <v>1.6319535661847751E-3</v>
      </c>
      <c r="AF32" s="29">
        <v>1.7799999999999999E-3</v>
      </c>
      <c r="AG32" s="29">
        <v>1.0069813078834424</v>
      </c>
      <c r="AH32" s="29">
        <v>3.866808222272419E-3</v>
      </c>
      <c r="AI32" s="29">
        <v>3.8400000000000001E-3</v>
      </c>
      <c r="AJ32" s="35">
        <v>0.62076674384458996</v>
      </c>
      <c r="AK32" s="35">
        <v>1.9367922407951207E-3</v>
      </c>
      <c r="AL32" s="35">
        <v>3.1199999999999999E-3</v>
      </c>
      <c r="AM32" s="35">
        <v>0.6870588152247572</v>
      </c>
      <c r="AN32" s="35">
        <v>2.019952916760786E-3</v>
      </c>
      <c r="AO32" s="35">
        <v>2.9399999999999999E-3</v>
      </c>
      <c r="AP32" s="35">
        <v>1.1535887734357353</v>
      </c>
      <c r="AQ32" s="35">
        <v>2.8032207194488368E-3</v>
      </c>
      <c r="AR32" s="35">
        <v>2.4299999999999999E-3</v>
      </c>
    </row>
    <row r="33" spans="3:44" x14ac:dyDescent="0.25">
      <c r="C33" s="15">
        <v>1233</v>
      </c>
      <c r="D33" s="1">
        <v>1.1677E-10</v>
      </c>
      <c r="E33" s="1">
        <v>1.1677E-10</v>
      </c>
      <c r="F33">
        <v>3.0100000000000001E-3</v>
      </c>
      <c r="G33" s="13">
        <f t="shared" si="1"/>
        <v>1.1539840749943528</v>
      </c>
      <c r="H33" s="13">
        <f t="shared" si="2"/>
        <v>1.1539840749943528</v>
      </c>
      <c r="I33" s="13">
        <f t="shared" si="3"/>
        <v>1.1539840749943528</v>
      </c>
      <c r="J33" s="14">
        <f t="shared" si="4"/>
        <v>3.4734920657330023E-3</v>
      </c>
      <c r="K33" s="14">
        <f t="shared" si="5"/>
        <v>3.0100000000000001E-3</v>
      </c>
      <c r="N33" s="6">
        <v>1233</v>
      </c>
      <c r="O33" s="6">
        <v>0.85528927603343119</v>
      </c>
      <c r="P33" s="6">
        <v>1.8816364072735488E-3</v>
      </c>
      <c r="Q33" s="6">
        <v>2.2000000000000001E-3</v>
      </c>
      <c r="R33" s="23">
        <v>0.9433179918680823</v>
      </c>
      <c r="S33" s="23">
        <v>2.679023096905354E-3</v>
      </c>
      <c r="T33" s="23">
        <v>2.8400000000000001E-3</v>
      </c>
      <c r="U33" s="23">
        <v>0.75619211655748808</v>
      </c>
      <c r="V33" s="23">
        <v>6.8057290490173921E-4</v>
      </c>
      <c r="W33" s="23">
        <v>8.9999999999999998E-4</v>
      </c>
      <c r="X33" s="23">
        <v>0.93553549243279854</v>
      </c>
      <c r="Y33" s="23">
        <v>3.3211509981364352E-3</v>
      </c>
      <c r="Z33" s="23">
        <v>3.5500000000000002E-3</v>
      </c>
      <c r="AA33" s="29">
        <v>1.012169640840298</v>
      </c>
      <c r="AB33" s="29">
        <v>2.8948051728032525E-3</v>
      </c>
      <c r="AC33" s="29">
        <v>2.8600000000000001E-3</v>
      </c>
      <c r="AD33" s="29">
        <v>0.91758880167156076</v>
      </c>
      <c r="AE33" s="29">
        <v>2.2389166760786081E-3</v>
      </c>
      <c r="AF33" s="29">
        <v>2.4399999999999999E-3</v>
      </c>
      <c r="AG33" s="29">
        <v>1.0054495143437994</v>
      </c>
      <c r="AH33" s="29">
        <v>3.1168934944657781E-3</v>
      </c>
      <c r="AI33" s="29">
        <v>3.0999999999999999E-3</v>
      </c>
      <c r="AJ33" s="35">
        <v>0.62011449627287096</v>
      </c>
      <c r="AK33" s="35">
        <v>1.9037515035577137E-3</v>
      </c>
      <c r="AL33" s="35">
        <v>3.0699999999999998E-3</v>
      </c>
      <c r="AM33" s="35">
        <v>0.68691057714027548</v>
      </c>
      <c r="AN33" s="35">
        <v>7.4873252908290032E-4</v>
      </c>
      <c r="AO33" s="35">
        <v>1.09E-3</v>
      </c>
      <c r="AP33" s="35">
        <v>1.1539840749943528</v>
      </c>
      <c r="AQ33" s="35">
        <v>3.4734920657330023E-3</v>
      </c>
      <c r="AR33" s="35">
        <v>3.0100000000000001E-3</v>
      </c>
    </row>
    <row r="34" spans="3:44" x14ac:dyDescent="0.25">
      <c r="C34" s="15">
        <v>1322</v>
      </c>
      <c r="D34" s="1">
        <v>1.1658E-10</v>
      </c>
      <c r="E34" s="1">
        <v>1.1656999999999999E-10</v>
      </c>
      <c r="F34">
        <v>2.5400000000000002E-3</v>
      </c>
      <c r="G34" s="13">
        <f t="shared" si="1"/>
        <v>1.1521063925909194</v>
      </c>
      <c r="H34" s="13">
        <f t="shared" si="2"/>
        <v>1.1520075672012648</v>
      </c>
      <c r="I34" s="13">
        <f t="shared" si="3"/>
        <v>1.1520569798960922</v>
      </c>
      <c r="J34" s="14">
        <f t="shared" si="4"/>
        <v>2.9262247289360745E-3</v>
      </c>
      <c r="K34" s="14">
        <f t="shared" si="5"/>
        <v>2.5400000000000002E-3</v>
      </c>
      <c r="N34" s="6">
        <v>1322</v>
      </c>
      <c r="O34" s="6">
        <v>0.85519539191325955</v>
      </c>
      <c r="P34" s="6">
        <v>1.9412935396430991E-3</v>
      </c>
      <c r="Q34" s="6">
        <v>2.2699999999999999E-3</v>
      </c>
      <c r="R34" s="23">
        <v>0.94228526654619371</v>
      </c>
      <c r="S34" s="23">
        <v>3.627798276202846E-3</v>
      </c>
      <c r="T34" s="23">
        <v>3.8500000000000001E-3</v>
      </c>
      <c r="U34" s="23">
        <v>0.75676530381748353</v>
      </c>
      <c r="V34" s="23">
        <v>1.104877343573526E-3</v>
      </c>
      <c r="W34" s="23">
        <v>1.4599999999999999E-3</v>
      </c>
      <c r="X34" s="23">
        <v>0.93588138129658915</v>
      </c>
      <c r="Y34" s="23">
        <v>3.2194319516602667E-3</v>
      </c>
      <c r="Z34" s="23">
        <v>3.4399999999999999E-3</v>
      </c>
      <c r="AA34" s="29">
        <v>1.0122684662299526</v>
      </c>
      <c r="AB34" s="29">
        <v>2.2978494183419924E-3</v>
      </c>
      <c r="AC34" s="29">
        <v>2.2699999999999999E-3</v>
      </c>
      <c r="AD34" s="29">
        <v>0.91614100971312395</v>
      </c>
      <c r="AE34" s="29">
        <v>1.9605417607860853E-3</v>
      </c>
      <c r="AF34" s="29">
        <v>2.14E-3</v>
      </c>
      <c r="AG34" s="29">
        <v>1.0050542127851818</v>
      </c>
      <c r="AH34" s="29">
        <v>2.924707759204879E-3</v>
      </c>
      <c r="AI34" s="29">
        <v>2.9099999999999998E-3</v>
      </c>
      <c r="AJ34" s="35">
        <v>0.6200749661170093</v>
      </c>
      <c r="AK34" s="35">
        <v>1.5563881649536934E-3</v>
      </c>
      <c r="AL34" s="35">
        <v>2.5100000000000001E-3</v>
      </c>
      <c r="AM34" s="35">
        <v>0.68562584707476848</v>
      </c>
      <c r="AN34" s="35">
        <v>1.5220893805059862E-3</v>
      </c>
      <c r="AO34" s="35">
        <v>2.2200000000000002E-3</v>
      </c>
      <c r="AP34" s="35">
        <v>1.1520569798960922</v>
      </c>
      <c r="AQ34" s="35">
        <v>2.9262247289360745E-3</v>
      </c>
      <c r="AR34" s="35">
        <v>2.5400000000000002E-3</v>
      </c>
    </row>
    <row r="35" spans="3:44" x14ac:dyDescent="0.25">
      <c r="C35" s="15">
        <v>1417</v>
      </c>
      <c r="D35" s="1">
        <v>1.1655E-10</v>
      </c>
      <c r="E35" s="1">
        <v>1.1655E-10</v>
      </c>
      <c r="F35">
        <v>2.5300000000000001E-3</v>
      </c>
      <c r="G35" s="13">
        <f t="shared" si="1"/>
        <v>1.151809916421956</v>
      </c>
      <c r="H35" s="13">
        <f t="shared" si="2"/>
        <v>1.151809916421956</v>
      </c>
      <c r="I35" s="13">
        <f t="shared" si="3"/>
        <v>1.151809916421956</v>
      </c>
      <c r="J35" s="14">
        <f t="shared" si="4"/>
        <v>2.9140790885475486E-3</v>
      </c>
      <c r="K35" s="14">
        <f t="shared" si="5"/>
        <v>2.5300000000000001E-3</v>
      </c>
      <c r="N35" s="6">
        <v>1417</v>
      </c>
      <c r="O35" s="6">
        <v>0.85511633160153599</v>
      </c>
      <c r="P35" s="6">
        <v>1.829948949627287E-3</v>
      </c>
      <c r="Q35" s="6">
        <v>2.14E-3</v>
      </c>
      <c r="R35" s="23">
        <v>0.94029393494465774</v>
      </c>
      <c r="S35" s="23">
        <v>2.8678965015812062E-3</v>
      </c>
      <c r="T35" s="23">
        <v>3.0500000000000002E-3</v>
      </c>
      <c r="U35" s="23">
        <v>0.75614764513214361</v>
      </c>
      <c r="V35" s="23">
        <v>1.0964140854416082E-3</v>
      </c>
      <c r="W35" s="23">
        <v>1.4499999999999999E-3</v>
      </c>
      <c r="X35" s="23">
        <v>0.93603456065055335</v>
      </c>
      <c r="Y35" s="23">
        <v>3.2012381974248923E-3</v>
      </c>
      <c r="Z35" s="23">
        <v>3.4199999999999999E-3</v>
      </c>
      <c r="AA35" s="29">
        <v>1.0107860853851365</v>
      </c>
      <c r="AB35" s="29">
        <v>2.2641608312627057E-3</v>
      </c>
      <c r="AC35" s="29">
        <v>2.2399999999999998E-3</v>
      </c>
      <c r="AD35" s="29">
        <v>0.91583465100519534</v>
      </c>
      <c r="AE35" s="29">
        <v>1.3096435509374295E-3</v>
      </c>
      <c r="AF35" s="29">
        <v>1.4300000000000001E-3</v>
      </c>
      <c r="AG35" s="29">
        <v>1.0027812288231308</v>
      </c>
      <c r="AH35" s="29">
        <v>3.0985939970634741E-3</v>
      </c>
      <c r="AI35" s="29">
        <v>3.0899999999999999E-3</v>
      </c>
      <c r="AJ35" s="35">
        <v>0.61969942963632252</v>
      </c>
      <c r="AK35" s="35">
        <v>1.5802335455726226E-3</v>
      </c>
      <c r="AL35" s="35">
        <v>2.5500000000000002E-3</v>
      </c>
      <c r="AM35" s="35">
        <v>0.68613973910097137</v>
      </c>
      <c r="AN35" s="35">
        <v>9.8804122430539874E-4</v>
      </c>
      <c r="AO35" s="35">
        <v>1.4400000000000001E-3</v>
      </c>
      <c r="AP35" s="35">
        <v>1.151809916421956</v>
      </c>
      <c r="AQ35" s="35">
        <v>2.9140790885475486E-3</v>
      </c>
      <c r="AR35" s="35">
        <v>2.5300000000000001E-3</v>
      </c>
    </row>
    <row r="36" spans="3:44" x14ac:dyDescent="0.25">
      <c r="C36" s="15">
        <v>1520</v>
      </c>
      <c r="D36" s="1">
        <v>1.1609E-10</v>
      </c>
      <c r="E36" s="1">
        <v>1.1608E-10</v>
      </c>
      <c r="F36">
        <v>3.6700000000000001E-3</v>
      </c>
      <c r="G36" s="13">
        <f t="shared" si="1"/>
        <v>1.1472639484978542</v>
      </c>
      <c r="H36" s="13">
        <f t="shared" si="2"/>
        <v>1.1471651231081996</v>
      </c>
      <c r="I36" s="13">
        <f t="shared" si="3"/>
        <v>1.1472145358030268</v>
      </c>
      <c r="J36" s="14">
        <f t="shared" si="4"/>
        <v>4.2102773463971082E-3</v>
      </c>
      <c r="K36" s="14">
        <f t="shared" si="5"/>
        <v>3.6700000000000001E-3</v>
      </c>
      <c r="N36" s="6">
        <v>1520</v>
      </c>
      <c r="O36" s="6">
        <v>0.85511633160153599</v>
      </c>
      <c r="P36" s="6">
        <v>1.89835825615541E-3</v>
      </c>
      <c r="Q36" s="6">
        <v>2.2200000000000002E-3</v>
      </c>
      <c r="R36" s="23">
        <v>0.94216173480912579</v>
      </c>
      <c r="S36" s="23">
        <v>3.0526040207815674E-3</v>
      </c>
      <c r="T36" s="23">
        <v>3.2399999999999998E-3</v>
      </c>
      <c r="U36" s="23">
        <v>0.75218474700700244</v>
      </c>
      <c r="V36" s="23">
        <v>1.278714069911904E-3</v>
      </c>
      <c r="W36" s="23">
        <v>1.6999999999999999E-3</v>
      </c>
      <c r="X36" s="23">
        <v>0.93603456065055335</v>
      </c>
      <c r="Y36" s="23">
        <v>3.2854813078834425E-3</v>
      </c>
      <c r="Z36" s="23">
        <v>3.5100000000000001E-3</v>
      </c>
      <c r="AA36" s="29">
        <v>1.0100943076575559</v>
      </c>
      <c r="AB36" s="29">
        <v>2.6666489722159477E-3</v>
      </c>
      <c r="AC36" s="29">
        <v>2.64E-3</v>
      </c>
      <c r="AD36" s="29">
        <v>0.91629913033657107</v>
      </c>
      <c r="AE36" s="29">
        <v>1.6585014259091937E-3</v>
      </c>
      <c r="AF36" s="29">
        <v>1.81E-3</v>
      </c>
      <c r="AG36" s="29">
        <v>1.0027812288231308</v>
      </c>
      <c r="AH36" s="29">
        <v>3.780485232663203E-3</v>
      </c>
      <c r="AI36" s="29">
        <v>3.7699999999999999E-3</v>
      </c>
      <c r="AJ36" s="35">
        <v>0.61928930426925688</v>
      </c>
      <c r="AK36" s="35">
        <v>1.5482232606731422E-3</v>
      </c>
      <c r="AL36" s="35">
        <v>2.5000000000000001E-3</v>
      </c>
      <c r="AM36" s="35">
        <v>0.6846079455613282</v>
      </c>
      <c r="AN36" s="35">
        <v>1.143295269087418E-3</v>
      </c>
      <c r="AO36" s="35">
        <v>1.67E-3</v>
      </c>
      <c r="AP36" s="35">
        <v>1.1472145358030268</v>
      </c>
      <c r="AQ36" s="35">
        <v>4.2102773463971082E-3</v>
      </c>
      <c r="AR36" s="35">
        <v>3.6700000000000001E-3</v>
      </c>
    </row>
    <row r="37" spans="3:44" x14ac:dyDescent="0.25">
      <c r="C37" s="15">
        <v>1630</v>
      </c>
      <c r="D37" s="1">
        <v>1.1573E-10</v>
      </c>
      <c r="E37" s="1">
        <v>1.1573E-10</v>
      </c>
      <c r="F37">
        <v>2.3999999999999998E-3</v>
      </c>
      <c r="G37" s="13">
        <f t="shared" si="1"/>
        <v>1.1437062344702957</v>
      </c>
      <c r="H37" s="13">
        <f t="shared" si="2"/>
        <v>1.1437062344702957</v>
      </c>
      <c r="I37" s="13">
        <f t="shared" si="3"/>
        <v>1.1437062344702957</v>
      </c>
      <c r="J37" s="14">
        <f t="shared" si="4"/>
        <v>2.7448949627287096E-3</v>
      </c>
      <c r="K37" s="14">
        <f t="shared" si="5"/>
        <v>2.3999999999999998E-3</v>
      </c>
      <c r="N37" s="6">
        <v>1630</v>
      </c>
      <c r="O37" s="6">
        <v>0.8551113903320533</v>
      </c>
      <c r="P37" s="6">
        <v>1.7444272362773889E-3</v>
      </c>
      <c r="Q37" s="6">
        <v>2.0400000000000001E-3</v>
      </c>
      <c r="R37" s="23">
        <v>0.93793200813191779</v>
      </c>
      <c r="S37" s="23">
        <v>3.2921413485430314E-3</v>
      </c>
      <c r="T37" s="23">
        <v>3.5100000000000001E-3</v>
      </c>
      <c r="U37" s="23">
        <v>0.7524071041337248</v>
      </c>
      <c r="V37" s="23">
        <v>2.2496972413598372E-3</v>
      </c>
      <c r="W37" s="23">
        <v>2.99E-3</v>
      </c>
      <c r="X37" s="23">
        <v>0.93631127174158579</v>
      </c>
      <c r="Y37" s="23">
        <v>3.2677263383781344E-3</v>
      </c>
      <c r="Z37" s="23">
        <v>3.49E-3</v>
      </c>
      <c r="AA37" s="29">
        <v>1.0070307205782698</v>
      </c>
      <c r="AB37" s="29">
        <v>2.1449754348317148E-3</v>
      </c>
      <c r="AC37" s="29">
        <v>2.1299999999999999E-3</v>
      </c>
      <c r="AD37" s="29">
        <v>0.91343813530607632</v>
      </c>
      <c r="AE37" s="29">
        <v>1.041319474248927E-3</v>
      </c>
      <c r="AF37" s="29">
        <v>1.14E-3</v>
      </c>
      <c r="AG37" s="29">
        <v>0.99803761011971992</v>
      </c>
      <c r="AH37" s="29">
        <v>3.4232690027106391E-3</v>
      </c>
      <c r="AI37" s="29">
        <v>3.4299999999999999E-3</v>
      </c>
      <c r="AJ37" s="35">
        <v>0.6194227185452903</v>
      </c>
      <c r="AK37" s="35">
        <v>1.4370607070250735E-3</v>
      </c>
      <c r="AL37" s="35">
        <v>2.32E-3</v>
      </c>
      <c r="AM37" s="35">
        <v>0.68528984074994348</v>
      </c>
      <c r="AN37" s="35">
        <v>1.747489093912356E-3</v>
      </c>
      <c r="AO37" s="35">
        <v>2.5500000000000002E-3</v>
      </c>
      <c r="AP37" s="35">
        <v>1.1437062344702957</v>
      </c>
      <c r="AQ37" s="35">
        <v>2.7448949627287096E-3</v>
      </c>
      <c r="AR37" s="35">
        <v>2.3999999999999998E-3</v>
      </c>
    </row>
    <row r="38" spans="3:44" x14ac:dyDescent="0.25">
      <c r="C38" s="15">
        <v>1748</v>
      </c>
      <c r="D38" s="1">
        <v>1.1781E-10</v>
      </c>
      <c r="E38" s="1">
        <v>1.1781E-10</v>
      </c>
      <c r="F38">
        <v>2.97E-3</v>
      </c>
      <c r="G38" s="13">
        <f t="shared" si="1"/>
        <v>1.1642619155184097</v>
      </c>
      <c r="H38" s="13">
        <f t="shared" si="2"/>
        <v>1.1642619155184097</v>
      </c>
      <c r="I38" s="13">
        <f t="shared" si="3"/>
        <v>1.1642619155184097</v>
      </c>
      <c r="J38" s="14">
        <f t="shared" si="4"/>
        <v>3.4578578890896768E-3</v>
      </c>
      <c r="K38" s="14">
        <f t="shared" si="5"/>
        <v>2.97E-3</v>
      </c>
      <c r="N38" s="6">
        <v>1748</v>
      </c>
      <c r="O38" s="6">
        <v>0.85492856336119272</v>
      </c>
      <c r="P38" s="6">
        <v>1.9577864100971312E-3</v>
      </c>
      <c r="Q38" s="6">
        <v>2.2899999999999999E-3</v>
      </c>
      <c r="R38" s="23">
        <v>0.93651880505985996</v>
      </c>
      <c r="S38" s="23">
        <v>2.8095564151795799E-3</v>
      </c>
      <c r="T38" s="23">
        <v>3.0000000000000001E-3</v>
      </c>
      <c r="U38" s="23">
        <v>0.75385983736164452</v>
      </c>
      <c r="V38" s="23">
        <v>2.0278829625028239E-3</v>
      </c>
      <c r="W38" s="23">
        <v>2.6900000000000001E-3</v>
      </c>
      <c r="X38" s="23">
        <v>0.93633597808899927</v>
      </c>
      <c r="Y38" s="23">
        <v>3.4363530395866274E-3</v>
      </c>
      <c r="Z38" s="23">
        <v>3.6700000000000001E-3</v>
      </c>
      <c r="AA38" s="29">
        <v>1.0028800542127851</v>
      </c>
      <c r="AB38" s="29">
        <v>1.7750976959566298E-3</v>
      </c>
      <c r="AC38" s="29">
        <v>1.7700000000000001E-3</v>
      </c>
      <c r="AD38" s="29">
        <v>0.91372967020555673</v>
      </c>
      <c r="AE38" s="29">
        <v>1.5442031426473909E-3</v>
      </c>
      <c r="AF38" s="29">
        <v>1.6900000000000001E-3</v>
      </c>
      <c r="AG38" s="29">
        <v>0.99418341992319847</v>
      </c>
      <c r="AH38" s="29">
        <v>2.2866218658233566E-3</v>
      </c>
      <c r="AI38" s="29">
        <v>2.3E-3</v>
      </c>
      <c r="AJ38" s="35">
        <v>0.61951166139597924</v>
      </c>
      <c r="AK38" s="35">
        <v>1.5425840368759884E-3</v>
      </c>
      <c r="AL38" s="35">
        <v>2.49E-3</v>
      </c>
      <c r="AM38" s="35">
        <v>0.68202366162186578</v>
      </c>
      <c r="AN38" s="35">
        <v>1.9710483820871922E-3</v>
      </c>
      <c r="AO38" s="35">
        <v>2.8900000000000002E-3</v>
      </c>
      <c r="AP38" s="35">
        <v>1.1642619155184097</v>
      </c>
      <c r="AQ38" s="35">
        <v>3.4578578890896768E-3</v>
      </c>
      <c r="AR38" s="35">
        <v>2.97E-3</v>
      </c>
    </row>
    <row r="39" spans="3:44" x14ac:dyDescent="0.25">
      <c r="C39" s="15">
        <v>1874</v>
      </c>
      <c r="D39" s="1">
        <v>1.1781999999999999E-10</v>
      </c>
      <c r="E39" s="1">
        <v>1.1781999999999999E-10</v>
      </c>
      <c r="F39">
        <v>3.7299999999999998E-3</v>
      </c>
      <c r="G39" s="13">
        <f t="shared" si="1"/>
        <v>1.1643607409080641</v>
      </c>
      <c r="H39" s="13">
        <f t="shared" si="2"/>
        <v>1.1643607409080641</v>
      </c>
      <c r="I39" s="13">
        <f t="shared" si="3"/>
        <v>1.1643607409080641</v>
      </c>
      <c r="J39" s="14">
        <f t="shared" si="4"/>
        <v>4.343065563587079E-3</v>
      </c>
      <c r="K39" s="14">
        <f t="shared" si="5"/>
        <v>3.7299999999999998E-3</v>
      </c>
      <c r="N39" s="6">
        <v>1874</v>
      </c>
      <c r="O39" s="6">
        <v>0.8547753840072283</v>
      </c>
      <c r="P39" s="6">
        <v>2.0087221524169867E-3</v>
      </c>
      <c r="Q39" s="6">
        <v>2.3500000000000001E-3</v>
      </c>
      <c r="R39" s="23">
        <v>0.93385051953919129</v>
      </c>
      <c r="S39" s="23">
        <v>3.7167250677659813E-3</v>
      </c>
      <c r="T39" s="23">
        <v>3.98E-3</v>
      </c>
      <c r="U39" s="23">
        <v>0.75132990738649197</v>
      </c>
      <c r="V39" s="23">
        <v>1.9008646656878247E-3</v>
      </c>
      <c r="W39" s="23">
        <v>2.5300000000000001E-3</v>
      </c>
      <c r="X39" s="23">
        <v>0.93627668285520671</v>
      </c>
      <c r="Y39" s="23">
        <v>3.323782224135984E-3</v>
      </c>
      <c r="Z39" s="23">
        <v>3.5500000000000002E-3</v>
      </c>
      <c r="AA39" s="29">
        <v>1.0037200700248476</v>
      </c>
      <c r="AB39" s="29">
        <v>2.3487049638581435E-3</v>
      </c>
      <c r="AC39" s="29">
        <v>2.3400000000000001E-3</v>
      </c>
      <c r="AD39" s="29">
        <v>0.90892675626835318</v>
      </c>
      <c r="AE39" s="29">
        <v>2.035995934041111E-3</v>
      </c>
      <c r="AF39" s="29">
        <v>2.2399999999999998E-3</v>
      </c>
      <c r="AG39" s="29">
        <v>0.99279986446803703</v>
      </c>
      <c r="AH39" s="29">
        <v>2.789767619155184E-3</v>
      </c>
      <c r="AI39" s="29">
        <v>2.81E-3</v>
      </c>
      <c r="AJ39" s="35">
        <v>0.61920530268805052</v>
      </c>
      <c r="AK39" s="35">
        <v>1.6408940521233338E-3</v>
      </c>
      <c r="AL39" s="35">
        <v>2.65E-3</v>
      </c>
      <c r="AM39" s="35">
        <v>0.68404464084029826</v>
      </c>
      <c r="AN39" s="35">
        <v>1.4638555313982381E-3</v>
      </c>
      <c r="AO39" s="35">
        <v>2.14E-3</v>
      </c>
      <c r="AP39" s="35">
        <v>1.1643607409080641</v>
      </c>
      <c r="AQ39" s="35">
        <v>4.343065563587079E-3</v>
      </c>
      <c r="AR39" s="35">
        <v>3.7299999999999998E-3</v>
      </c>
    </row>
    <row r="40" spans="3:44" x14ac:dyDescent="0.25">
      <c r="C40" s="15">
        <v>2009</v>
      </c>
      <c r="D40" s="1">
        <v>1.1788000000000001E-10</v>
      </c>
      <c r="E40" s="1">
        <v>1.1788000000000001E-10</v>
      </c>
      <c r="F40">
        <v>3.1199999999999999E-3</v>
      </c>
      <c r="G40" s="13">
        <f t="shared" si="1"/>
        <v>1.1649536932459905</v>
      </c>
      <c r="H40" s="13">
        <f t="shared" si="2"/>
        <v>1.1649536932459905</v>
      </c>
      <c r="I40" s="13">
        <f t="shared" si="3"/>
        <v>1.1649536932459905</v>
      </c>
      <c r="J40" s="14">
        <f t="shared" si="4"/>
        <v>3.6346555229274905E-3</v>
      </c>
      <c r="K40" s="14">
        <f t="shared" si="5"/>
        <v>3.1199999999999999E-3</v>
      </c>
      <c r="N40" s="6">
        <v>2009</v>
      </c>
      <c r="O40" s="6">
        <v>0.85482973797153816</v>
      </c>
      <c r="P40" s="6">
        <v>2.0857845606505531E-3</v>
      </c>
      <c r="Q40" s="6">
        <v>2.4399999999999999E-3</v>
      </c>
      <c r="R40" s="23">
        <v>0.93192342444093057</v>
      </c>
      <c r="S40" s="23">
        <v>3.6997359950304938E-3</v>
      </c>
      <c r="T40" s="23">
        <v>3.9699999999999996E-3</v>
      </c>
      <c r="U40" s="23">
        <v>0.74713971086514563</v>
      </c>
      <c r="V40" s="23">
        <v>1.6810643494465775E-3</v>
      </c>
      <c r="W40" s="23">
        <v>2.2499999999999998E-3</v>
      </c>
      <c r="X40" s="23">
        <v>0.93619762254348315</v>
      </c>
      <c r="Y40" s="23">
        <v>3.4639312034108879E-3</v>
      </c>
      <c r="Z40" s="23">
        <v>3.7000000000000002E-3</v>
      </c>
      <c r="AA40" s="29">
        <v>1.0210639259091936</v>
      </c>
      <c r="AB40" s="29">
        <v>2.8283470747684663E-3</v>
      </c>
      <c r="AC40" s="29">
        <v>2.7699999999999999E-3</v>
      </c>
      <c r="AD40" s="29">
        <v>0.90540857239665684</v>
      </c>
      <c r="AE40" s="29">
        <v>1.4848700587305171E-3</v>
      </c>
      <c r="AF40" s="29">
        <v>1.64E-3</v>
      </c>
      <c r="AG40" s="29">
        <v>1.0145414501920036</v>
      </c>
      <c r="AH40" s="29">
        <v>3.9567116557488137E-3</v>
      </c>
      <c r="AI40" s="29">
        <v>3.8999999999999998E-3</v>
      </c>
      <c r="AJ40" s="35">
        <v>0.61884459001581205</v>
      </c>
      <c r="AK40" s="35">
        <v>1.5347345832392139E-3</v>
      </c>
      <c r="AL40" s="35">
        <v>2.48E-3</v>
      </c>
      <c r="AM40" s="35">
        <v>0.68078340298170315</v>
      </c>
      <c r="AN40" s="35">
        <v>1.4296451462615764E-3</v>
      </c>
      <c r="AO40" s="35">
        <v>2.0999999999999999E-3</v>
      </c>
      <c r="AP40" s="35">
        <v>1.1649536932459905</v>
      </c>
      <c r="AQ40" s="35">
        <v>3.6346555229274905E-3</v>
      </c>
      <c r="AR40" s="35">
        <v>3.1199999999999999E-3</v>
      </c>
    </row>
    <row r="41" spans="3:44" x14ac:dyDescent="0.25">
      <c r="C41" s="15">
        <v>2154</v>
      </c>
      <c r="D41" s="1">
        <v>1.1775999999999999E-10</v>
      </c>
      <c r="E41" s="1">
        <v>1.1775999999999999E-10</v>
      </c>
      <c r="F41">
        <v>3.0400000000000002E-3</v>
      </c>
      <c r="G41" s="13">
        <f t="shared" si="1"/>
        <v>1.1637677885701376</v>
      </c>
      <c r="H41" s="13">
        <f t="shared" si="2"/>
        <v>1.1637677885701376</v>
      </c>
      <c r="I41" s="13">
        <f t="shared" si="3"/>
        <v>1.1637677885701376</v>
      </c>
      <c r="J41" s="14">
        <f t="shared" si="4"/>
        <v>3.5378540772532186E-3</v>
      </c>
      <c r="K41" s="14">
        <f t="shared" si="5"/>
        <v>3.0400000000000002E-3</v>
      </c>
      <c r="N41" s="6">
        <v>2154</v>
      </c>
      <c r="O41" s="6">
        <v>0.85466173480912577</v>
      </c>
      <c r="P41" s="6">
        <v>2.1281077196747232E-3</v>
      </c>
      <c r="Q41" s="6">
        <v>2.49E-3</v>
      </c>
      <c r="R41" s="23">
        <v>0.9520936864693923</v>
      </c>
      <c r="S41" s="23">
        <v>3.6465188191777726E-3</v>
      </c>
      <c r="T41" s="23">
        <v>3.8300000000000001E-3</v>
      </c>
      <c r="U41" s="23">
        <v>0.74723359498531727</v>
      </c>
      <c r="V41" s="23">
        <v>1.3749098147729838E-3</v>
      </c>
      <c r="W41" s="23">
        <v>1.8400000000000001E-3</v>
      </c>
      <c r="X41" s="23">
        <v>0.93722540659588893</v>
      </c>
      <c r="Y41" s="23">
        <v>3.552084290998419E-3</v>
      </c>
      <c r="Z41" s="23">
        <v>3.79E-3</v>
      </c>
      <c r="AA41" s="29">
        <v>1.0208662751298847</v>
      </c>
      <c r="AB41" s="29">
        <v>2.9196775468714703E-3</v>
      </c>
      <c r="AC41" s="29">
        <v>2.8600000000000001E-3</v>
      </c>
      <c r="AD41" s="29">
        <v>0.92441269482719668</v>
      </c>
      <c r="AE41" s="29">
        <v>2.3572523718093518E-3</v>
      </c>
      <c r="AF41" s="29">
        <v>2.5500000000000002E-3</v>
      </c>
      <c r="AG41" s="29">
        <v>1.0147391009713123</v>
      </c>
      <c r="AH41" s="29">
        <v>3.7139451095550028E-3</v>
      </c>
      <c r="AI41" s="29">
        <v>3.6600000000000001E-3</v>
      </c>
      <c r="AJ41" s="35">
        <v>0.61872105827874413</v>
      </c>
      <c r="AK41" s="35">
        <v>1.9737201759091939E-3</v>
      </c>
      <c r="AL41" s="35">
        <v>3.1900000000000001E-3</v>
      </c>
      <c r="AM41" s="35">
        <v>0.68113917438445903</v>
      </c>
      <c r="AN41" s="35">
        <v>1.4508264414388977E-3</v>
      </c>
      <c r="AO41" s="35">
        <v>2.1299999999999999E-3</v>
      </c>
      <c r="AP41" s="35">
        <v>1.1637677885701376</v>
      </c>
      <c r="AQ41" s="35">
        <v>3.5378540772532186E-3</v>
      </c>
      <c r="AR41" s="35">
        <v>3.0400000000000002E-3</v>
      </c>
    </row>
    <row r="42" spans="3:44" x14ac:dyDescent="0.25">
      <c r="C42" s="15">
        <v>2310</v>
      </c>
      <c r="D42" s="1">
        <v>1.179E-10</v>
      </c>
      <c r="E42" s="1">
        <v>1.1788999999999999E-10</v>
      </c>
      <c r="F42">
        <v>3.5200000000000001E-3</v>
      </c>
      <c r="G42" s="13">
        <f t="shared" si="1"/>
        <v>1.1651513440252992</v>
      </c>
      <c r="H42" s="13">
        <f t="shared" si="2"/>
        <v>1.1650525186356449</v>
      </c>
      <c r="I42" s="13">
        <f t="shared" si="3"/>
        <v>1.165101931330472</v>
      </c>
      <c r="J42" s="14">
        <f t="shared" si="4"/>
        <v>4.1011587982832613E-3</v>
      </c>
      <c r="K42" s="14">
        <f t="shared" si="5"/>
        <v>3.5200000000000001E-3</v>
      </c>
      <c r="N42" s="6">
        <v>2310</v>
      </c>
      <c r="O42" s="6">
        <v>0.85452337926360955</v>
      </c>
      <c r="P42" s="6">
        <v>2.3670297605601982E-3</v>
      </c>
      <c r="Q42" s="6">
        <v>2.7699999999999999E-3</v>
      </c>
      <c r="R42" s="23">
        <v>0.95172309125818821</v>
      </c>
      <c r="S42" s="23">
        <v>3.4262031285294775E-3</v>
      </c>
      <c r="T42" s="23">
        <v>3.5999999999999999E-3</v>
      </c>
      <c r="U42" s="23">
        <v>0.74651711091032302</v>
      </c>
      <c r="V42" s="23">
        <v>1.7393848684210526E-3</v>
      </c>
      <c r="W42" s="23">
        <v>2.33E-3</v>
      </c>
      <c r="X42" s="23">
        <v>0.93734893833295674</v>
      </c>
      <c r="Y42" s="23">
        <v>3.4681910718319399E-3</v>
      </c>
      <c r="Z42" s="23">
        <v>3.7000000000000002E-3</v>
      </c>
      <c r="AA42" s="29">
        <v>1.0214592274678114</v>
      </c>
      <c r="AB42" s="29">
        <v>2.7375107296137347E-3</v>
      </c>
      <c r="AC42" s="29">
        <v>2.6800000000000001E-3</v>
      </c>
      <c r="AD42" s="29">
        <v>0.92411621865823357</v>
      </c>
      <c r="AE42" s="29">
        <v>2.2271200869663425E-3</v>
      </c>
      <c r="AF42" s="29">
        <v>2.4099999999999998E-3</v>
      </c>
      <c r="AG42" s="29">
        <v>1.0142449740230404</v>
      </c>
      <c r="AH42" s="29">
        <v>3.2962961655748808E-3</v>
      </c>
      <c r="AI42" s="29">
        <v>3.2499999999999999E-3</v>
      </c>
      <c r="AJ42" s="35">
        <v>0.61806881070702502</v>
      </c>
      <c r="AK42" s="35">
        <v>1.7491347343008808E-3</v>
      </c>
      <c r="AL42" s="35">
        <v>2.8300000000000001E-3</v>
      </c>
      <c r="AM42" s="35">
        <v>0.67833253331827414</v>
      </c>
      <c r="AN42" s="35">
        <v>1.4516316213011066E-3</v>
      </c>
      <c r="AO42" s="35">
        <v>2.14E-3</v>
      </c>
      <c r="AP42" s="35">
        <v>1.165101931330472</v>
      </c>
      <c r="AQ42" s="35">
        <v>4.1011587982832613E-3</v>
      </c>
      <c r="AR42" s="35">
        <v>3.5200000000000001E-3</v>
      </c>
    </row>
    <row r="43" spans="3:44" x14ac:dyDescent="0.25">
      <c r="C43" s="15">
        <v>2477</v>
      </c>
      <c r="D43" s="1">
        <v>1.1787E-10</v>
      </c>
      <c r="E43" s="1">
        <v>1.1787E-10</v>
      </c>
      <c r="F43">
        <v>3.47E-3</v>
      </c>
      <c r="G43" s="13">
        <f t="shared" si="1"/>
        <v>1.1648548678563362</v>
      </c>
      <c r="H43" s="13">
        <f t="shared" si="2"/>
        <v>1.1648548678563362</v>
      </c>
      <c r="I43" s="13">
        <f t="shared" si="3"/>
        <v>1.1648548678563362</v>
      </c>
      <c r="J43" s="14">
        <f t="shared" si="4"/>
        <v>4.0420463914614862E-3</v>
      </c>
      <c r="K43" s="14">
        <f t="shared" si="5"/>
        <v>3.47E-3</v>
      </c>
      <c r="N43" s="6">
        <v>2477</v>
      </c>
      <c r="O43" s="6">
        <v>0.85439984752654152</v>
      </c>
      <c r="P43" s="6">
        <v>2.3923195730743163E-3</v>
      </c>
      <c r="Q43" s="6">
        <v>2.8E-3</v>
      </c>
      <c r="R43" s="23">
        <v>0.95211345154732319</v>
      </c>
      <c r="S43" s="23">
        <v>3.2847914078382649E-3</v>
      </c>
      <c r="T43" s="23">
        <v>3.4499999999999999E-3</v>
      </c>
      <c r="U43" s="23">
        <v>0.73602679579850916</v>
      </c>
      <c r="V43" s="23">
        <v>1.8915888652021684E-3</v>
      </c>
      <c r="W43" s="23">
        <v>2.5699999999999998E-3</v>
      </c>
      <c r="X43" s="23">
        <v>0.93732423198554315</v>
      </c>
      <c r="Y43" s="23">
        <v>3.6743109893833292E-3</v>
      </c>
      <c r="Z43" s="23">
        <v>3.9199999999999999E-3</v>
      </c>
      <c r="AA43" s="29">
        <v>1.0216568782471198</v>
      </c>
      <c r="AB43" s="29">
        <v>2.4826262141405008E-3</v>
      </c>
      <c r="AC43" s="29">
        <v>2.4299999999999999E-3</v>
      </c>
      <c r="AD43" s="29">
        <v>0.9235726790151344</v>
      </c>
      <c r="AE43" s="29">
        <v>2.2904602439575332E-3</v>
      </c>
      <c r="AF43" s="29">
        <v>2.48E-3</v>
      </c>
      <c r="AG43" s="29">
        <v>1.0144920374971764</v>
      </c>
      <c r="AH43" s="29">
        <v>3.7434756183645813E-3</v>
      </c>
      <c r="AI43" s="29">
        <v>3.6900000000000001E-3</v>
      </c>
      <c r="AJ43" s="35">
        <v>0.6184295233792636</v>
      </c>
      <c r="AK43" s="35">
        <v>1.8552885701377908E-3</v>
      </c>
      <c r="AL43" s="35">
        <v>3.0000000000000001E-3</v>
      </c>
      <c r="AM43" s="35">
        <v>0.67936031737067992</v>
      </c>
      <c r="AN43" s="35">
        <v>1.6440519680370454E-3</v>
      </c>
      <c r="AO43" s="35">
        <v>2.4199999999999998E-3</v>
      </c>
      <c r="AP43" s="35">
        <v>1.1648548678563362</v>
      </c>
      <c r="AQ43" s="35">
        <v>4.0420463914614862E-3</v>
      </c>
      <c r="AR43" s="35">
        <v>3.47E-3</v>
      </c>
    </row>
    <row r="44" spans="3:44" x14ac:dyDescent="0.25">
      <c r="C44" s="15">
        <v>2656</v>
      </c>
      <c r="D44" s="1">
        <v>1.1788999999999999E-10</v>
      </c>
      <c r="E44" s="1">
        <v>1.1788999999999999E-10</v>
      </c>
      <c r="F44">
        <v>3.5100000000000001E-3</v>
      </c>
      <c r="G44" s="13">
        <f t="shared" si="1"/>
        <v>1.1650525186356449</v>
      </c>
      <c r="H44" s="13">
        <f t="shared" si="2"/>
        <v>1.1650525186356449</v>
      </c>
      <c r="I44" s="13">
        <f t="shared" si="3"/>
        <v>1.1650525186356449</v>
      </c>
      <c r="J44" s="14">
        <f t="shared" si="4"/>
        <v>4.0893343404111134E-3</v>
      </c>
      <c r="K44" s="14">
        <f t="shared" si="5"/>
        <v>3.5100000000000001E-3</v>
      </c>
      <c r="N44" s="6">
        <v>2656</v>
      </c>
      <c r="O44" s="6">
        <v>0.85425655071154272</v>
      </c>
      <c r="P44" s="6">
        <v>2.2894075559069344E-3</v>
      </c>
      <c r="Q44" s="6">
        <v>2.6800000000000001E-3</v>
      </c>
      <c r="R44" s="23">
        <v>0.95173791506663652</v>
      </c>
      <c r="S44" s="23">
        <v>3.6737083521572169E-3</v>
      </c>
      <c r="T44" s="23">
        <v>3.8600000000000001E-3</v>
      </c>
      <c r="U44" s="23">
        <v>0.766277247571719</v>
      </c>
      <c r="V44" s="23">
        <v>2.0382974785407727E-3</v>
      </c>
      <c r="W44" s="23">
        <v>2.66E-3</v>
      </c>
      <c r="X44" s="23">
        <v>0.93730446690761249</v>
      </c>
      <c r="Y44" s="23">
        <v>3.6086221975943082E-3</v>
      </c>
      <c r="Z44" s="23">
        <v>3.8500000000000001E-3</v>
      </c>
      <c r="AA44" s="29">
        <v>1.0214592274678114</v>
      </c>
      <c r="AB44" s="29">
        <v>2.9315879828326189E-3</v>
      </c>
      <c r="AC44" s="29">
        <v>2.8700000000000002E-3</v>
      </c>
      <c r="AD44" s="29">
        <v>0.92394821549582118</v>
      </c>
      <c r="AE44" s="29">
        <v>2.5500970747684665E-3</v>
      </c>
      <c r="AF44" s="29">
        <v>2.7599999999999999E-3</v>
      </c>
      <c r="AG44" s="29">
        <v>1.0140967359385589</v>
      </c>
      <c r="AH44" s="29">
        <v>4.0766688784730064E-3</v>
      </c>
      <c r="AI44" s="29">
        <v>4.0200000000000001E-3</v>
      </c>
      <c r="AJ44" s="35">
        <v>0.61778715834650999</v>
      </c>
      <c r="AK44" s="35">
        <v>1.6989146854529023E-3</v>
      </c>
      <c r="AL44" s="35">
        <v>2.7499999999999998E-3</v>
      </c>
      <c r="AM44" s="35">
        <v>0.67456234470295917</v>
      </c>
      <c r="AN44" s="35">
        <v>1.7336252258866049E-3</v>
      </c>
      <c r="AO44" s="35">
        <v>2.5699999999999998E-3</v>
      </c>
      <c r="AP44" s="35">
        <v>1.1650525186356449</v>
      </c>
      <c r="AQ44" s="35">
        <v>4.0893343404111134E-3</v>
      </c>
      <c r="AR44" s="35">
        <v>3.5100000000000001E-3</v>
      </c>
    </row>
    <row r="45" spans="3:44" x14ac:dyDescent="0.25">
      <c r="C45" s="15">
        <v>2848</v>
      </c>
      <c r="D45" s="1">
        <v>1.1791000000000001E-10</v>
      </c>
      <c r="E45" s="1">
        <v>1.1791000000000001E-10</v>
      </c>
      <c r="F45">
        <v>3.14E-3</v>
      </c>
      <c r="G45" s="13">
        <f t="shared" si="1"/>
        <v>1.1652501694149537</v>
      </c>
      <c r="H45" s="13">
        <f t="shared" si="2"/>
        <v>1.1652501694149537</v>
      </c>
      <c r="I45" s="13">
        <f t="shared" si="3"/>
        <v>1.1652501694149537</v>
      </c>
      <c r="J45" s="14">
        <f t="shared" si="4"/>
        <v>3.6588855319629548E-3</v>
      </c>
      <c r="K45" s="14">
        <f t="shared" si="5"/>
        <v>3.14E-3</v>
      </c>
      <c r="N45" s="6">
        <v>2848</v>
      </c>
      <c r="O45" s="6">
        <v>0.85414784278292299</v>
      </c>
      <c r="P45" s="6">
        <v>2.3489065676530383E-3</v>
      </c>
      <c r="Q45" s="6">
        <v>2.7499999999999998E-3</v>
      </c>
      <c r="R45" s="23">
        <v>0.95122896430991632</v>
      </c>
      <c r="S45" s="23">
        <v>3.3483259543709057E-3</v>
      </c>
      <c r="T45" s="23">
        <v>3.5200000000000001E-3</v>
      </c>
      <c r="U45" s="23">
        <v>0.76592641743844581</v>
      </c>
      <c r="V45" s="23">
        <v>1.9990679495143437E-3</v>
      </c>
      <c r="W45" s="23">
        <v>2.6099999999999999E-3</v>
      </c>
      <c r="X45" s="23">
        <v>0.93722046532640624</v>
      </c>
      <c r="Y45" s="23">
        <v>3.6551598147729842E-3</v>
      </c>
      <c r="Z45" s="23">
        <v>3.8999999999999998E-3</v>
      </c>
      <c r="AA45" s="29">
        <v>1.0213604020781566</v>
      </c>
      <c r="AB45" s="29">
        <v>2.9006635419019646E-3</v>
      </c>
      <c r="AC45" s="29">
        <v>2.8400000000000001E-3</v>
      </c>
      <c r="AD45" s="29">
        <v>0.92376538852496048</v>
      </c>
      <c r="AE45" s="29">
        <v>1.9214320081319177E-3</v>
      </c>
      <c r="AF45" s="29">
        <v>2.0799999999999998E-3</v>
      </c>
      <c r="AG45" s="29">
        <v>1.0140473232437315</v>
      </c>
      <c r="AH45" s="29">
        <v>3.6708513101423078E-3</v>
      </c>
      <c r="AI45" s="29">
        <v>3.62E-3</v>
      </c>
      <c r="AJ45" s="35">
        <v>0.61698173142082668</v>
      </c>
      <c r="AK45" s="35">
        <v>1.6720204921504404E-3</v>
      </c>
      <c r="AL45" s="35">
        <v>2.7100000000000002E-3</v>
      </c>
      <c r="AM45" s="35">
        <v>0.67379644793313753</v>
      </c>
      <c r="AN45" s="35">
        <v>2.1022449175513891E-3</v>
      </c>
      <c r="AO45" s="35">
        <v>3.1199999999999999E-3</v>
      </c>
      <c r="AP45" s="35">
        <v>1.1652501694149537</v>
      </c>
      <c r="AQ45" s="35">
        <v>3.6588855319629548E-3</v>
      </c>
      <c r="AR45" s="35">
        <v>3.14E-3</v>
      </c>
    </row>
    <row r="46" spans="3:44" x14ac:dyDescent="0.25">
      <c r="C46" s="15">
        <v>3054</v>
      </c>
      <c r="D46" s="1">
        <v>1.1794999999999999E-10</v>
      </c>
      <c r="E46" s="1">
        <v>1.1794999999999999E-10</v>
      </c>
      <c r="F46">
        <v>3.8700000000000002E-3</v>
      </c>
      <c r="G46" s="13">
        <f t="shared" si="1"/>
        <v>1.1656454709735711</v>
      </c>
      <c r="H46" s="13">
        <f t="shared" si="2"/>
        <v>1.1656454709735711</v>
      </c>
      <c r="I46" s="13">
        <f t="shared" si="3"/>
        <v>1.1656454709735711</v>
      </c>
      <c r="J46" s="14">
        <f t="shared" si="4"/>
        <v>4.5110479726677205E-3</v>
      </c>
      <c r="K46" s="14">
        <f t="shared" si="5"/>
        <v>3.8700000000000002E-3</v>
      </c>
      <c r="N46" s="6">
        <v>3054</v>
      </c>
      <c r="O46" s="6">
        <v>0.85391066184775244</v>
      </c>
      <c r="P46" s="6">
        <v>2.8776789304269259E-3</v>
      </c>
      <c r="Q46" s="6">
        <v>3.3700000000000002E-3</v>
      </c>
      <c r="R46" s="23">
        <v>0.95106590241698674</v>
      </c>
      <c r="S46" s="23">
        <v>4.9550533515925008E-3</v>
      </c>
      <c r="T46" s="23">
        <v>5.2100000000000002E-3</v>
      </c>
      <c r="U46" s="23">
        <v>0.76415744296363219</v>
      </c>
      <c r="V46" s="23">
        <v>2.590493731646713E-3</v>
      </c>
      <c r="W46" s="23">
        <v>3.3899999999999998E-3</v>
      </c>
      <c r="X46" s="23">
        <v>0.93675598599503052</v>
      </c>
      <c r="Y46" s="23">
        <v>3.587775426360967E-3</v>
      </c>
      <c r="Z46" s="23">
        <v>3.8300000000000001E-3</v>
      </c>
      <c r="AA46" s="29">
        <v>1.0216568782471198</v>
      </c>
      <c r="AB46" s="29">
        <v>3.8414298622091703E-3</v>
      </c>
      <c r="AC46" s="29">
        <v>3.7599999999999999E-3</v>
      </c>
      <c r="AD46" s="29">
        <v>0.92531200587305173</v>
      </c>
      <c r="AE46" s="29">
        <v>2.9795046589112268E-3</v>
      </c>
      <c r="AF46" s="29">
        <v>3.2200000000000002E-3</v>
      </c>
      <c r="AG46" s="29">
        <v>1.0137014343799411</v>
      </c>
      <c r="AH46" s="29">
        <v>5.5043987886830804E-3</v>
      </c>
      <c r="AI46" s="29">
        <v>5.4299999999999999E-3</v>
      </c>
      <c r="AJ46" s="35">
        <v>0.61534617122204649</v>
      </c>
      <c r="AK46" s="35">
        <v>2.1598650609893832E-3</v>
      </c>
      <c r="AL46" s="35">
        <v>3.5100000000000001E-3</v>
      </c>
      <c r="AM46" s="35">
        <v>0.69000381183645809</v>
      </c>
      <c r="AN46" s="35">
        <v>3.87092138440253E-3</v>
      </c>
      <c r="AO46" s="35">
        <v>5.6100000000000004E-3</v>
      </c>
      <c r="AP46" s="35">
        <v>1.1656454709735711</v>
      </c>
      <c r="AQ46" s="35">
        <v>4.5110479726677205E-3</v>
      </c>
      <c r="AR46" s="35">
        <v>3.8700000000000002E-3</v>
      </c>
    </row>
    <row r="47" spans="3:44" x14ac:dyDescent="0.25">
      <c r="C47" s="15">
        <v>3275</v>
      </c>
      <c r="D47" s="1">
        <v>1.1797999999999999E-10</v>
      </c>
      <c r="E47" s="1">
        <v>1.1797000000000001E-10</v>
      </c>
      <c r="F47">
        <v>3.9500000000000004E-3</v>
      </c>
      <c r="G47" s="13">
        <f t="shared" si="1"/>
        <v>1.1659419471425343</v>
      </c>
      <c r="H47" s="13">
        <f t="shared" si="2"/>
        <v>1.1658431217528802</v>
      </c>
      <c r="I47" s="13">
        <f t="shared" si="3"/>
        <v>1.1658925344477074</v>
      </c>
      <c r="J47" s="14">
        <f t="shared" si="4"/>
        <v>4.6052755110684443E-3</v>
      </c>
      <c r="K47" s="14">
        <f t="shared" si="5"/>
        <v>3.9500000000000004E-3</v>
      </c>
      <c r="N47" s="6">
        <v>3275</v>
      </c>
      <c r="O47" s="6">
        <v>0.85365371583465088</v>
      </c>
      <c r="P47" s="6">
        <v>2.8597399480460805E-3</v>
      </c>
      <c r="Q47" s="6">
        <v>3.3500000000000001E-3</v>
      </c>
      <c r="R47" s="23">
        <v>0.95033953580302688</v>
      </c>
      <c r="S47" s="23">
        <v>3.8963920967924107E-3</v>
      </c>
      <c r="T47" s="23">
        <v>4.1000000000000003E-3</v>
      </c>
      <c r="U47" s="23">
        <v>0.76590171109103222</v>
      </c>
      <c r="V47" s="23">
        <v>2.2594100477185452E-3</v>
      </c>
      <c r="W47" s="23">
        <v>2.9499999999999999E-3</v>
      </c>
      <c r="X47" s="23">
        <v>0.9374082335667494</v>
      </c>
      <c r="Y47" s="23">
        <v>4.3870705330923869E-3</v>
      </c>
      <c r="Z47" s="23">
        <v>4.6800000000000001E-3</v>
      </c>
      <c r="AA47" s="29">
        <v>1.0218545290264287</v>
      </c>
      <c r="AB47" s="29">
        <v>4.1487293878473006E-3</v>
      </c>
      <c r="AC47" s="29">
        <v>4.0600000000000002E-3</v>
      </c>
      <c r="AD47" s="29">
        <v>0.92373574090806421</v>
      </c>
      <c r="AE47" s="29">
        <v>3.3162113098599505E-3</v>
      </c>
      <c r="AF47" s="29">
        <v>3.5899999999999999E-3</v>
      </c>
      <c r="AG47" s="29">
        <v>1.0132567201264964</v>
      </c>
      <c r="AH47" s="29">
        <v>4.0023640444996613E-3</v>
      </c>
      <c r="AI47" s="29">
        <v>3.9500000000000004E-3</v>
      </c>
      <c r="AJ47" s="35">
        <v>0.61789092500564713</v>
      </c>
      <c r="AK47" s="35">
        <v>2.3232698780212332E-3</v>
      </c>
      <c r="AL47" s="35">
        <v>3.7599999999999999E-3</v>
      </c>
      <c r="AM47" s="35">
        <v>0.68895132143663884</v>
      </c>
      <c r="AN47" s="35">
        <v>2.5077828100293653E-3</v>
      </c>
      <c r="AO47" s="35">
        <v>3.64E-3</v>
      </c>
      <c r="AP47" s="35">
        <v>1.1658925344477074</v>
      </c>
      <c r="AQ47" s="35">
        <v>4.6052755110684443E-3</v>
      </c>
      <c r="AR47" s="35">
        <v>3.9500000000000004E-3</v>
      </c>
    </row>
    <row r="48" spans="3:44" x14ac:dyDescent="0.25">
      <c r="C48" s="15">
        <v>3511</v>
      </c>
      <c r="D48" s="1">
        <v>1.1803999999999999E-10</v>
      </c>
      <c r="E48" s="1">
        <v>1.1803999999999999E-10</v>
      </c>
      <c r="F48">
        <v>3.7799999999999999E-3</v>
      </c>
      <c r="G48" s="13">
        <f t="shared" si="1"/>
        <v>1.1665348994804607</v>
      </c>
      <c r="H48" s="13">
        <f t="shared" si="2"/>
        <v>1.1665348994804607</v>
      </c>
      <c r="I48" s="13">
        <f t="shared" si="3"/>
        <v>1.1665348994804607</v>
      </c>
      <c r="J48" s="14">
        <f t="shared" si="4"/>
        <v>4.4095019200361416E-3</v>
      </c>
      <c r="K48" s="14">
        <f t="shared" si="5"/>
        <v>3.7799999999999999E-3</v>
      </c>
      <c r="N48" s="6">
        <v>3511</v>
      </c>
      <c r="O48" s="6">
        <v>0.85404901739326855</v>
      </c>
      <c r="P48" s="6">
        <v>3.0318740117461036E-3</v>
      </c>
      <c r="Q48" s="6">
        <v>3.5500000000000002E-3</v>
      </c>
      <c r="R48" s="23">
        <v>0.95059154054664563</v>
      </c>
      <c r="S48" s="23">
        <v>2.8612805370454033E-3</v>
      </c>
      <c r="T48" s="23">
        <v>3.0100000000000001E-3</v>
      </c>
      <c r="U48" s="23">
        <v>0.76581770950982597</v>
      </c>
      <c r="V48" s="23">
        <v>2.7799182855206685E-3</v>
      </c>
      <c r="W48" s="23">
        <v>3.63E-3</v>
      </c>
      <c r="X48" s="23">
        <v>0.93731929071606057</v>
      </c>
      <c r="Y48" s="23">
        <v>4.6303572961373394E-3</v>
      </c>
      <c r="Z48" s="23">
        <v>4.9399999999999999E-3</v>
      </c>
      <c r="AA48" s="29">
        <v>1.0211627512988477</v>
      </c>
      <c r="AB48" s="29">
        <v>4.4522695956629764E-3</v>
      </c>
      <c r="AC48" s="29">
        <v>4.3600000000000002E-3</v>
      </c>
      <c r="AD48" s="29">
        <v>0.92282654732324376</v>
      </c>
      <c r="AE48" s="29">
        <v>3.349860366783375E-3</v>
      </c>
      <c r="AF48" s="29">
        <v>3.63E-3</v>
      </c>
      <c r="AG48" s="29">
        <v>1.0137508470747683</v>
      </c>
      <c r="AH48" s="29">
        <v>4.6328413711316909E-3</v>
      </c>
      <c r="AI48" s="29">
        <v>4.5700000000000003E-3</v>
      </c>
      <c r="AJ48" s="35">
        <v>0.61791563135306071</v>
      </c>
      <c r="AK48" s="35">
        <v>2.5519915574881407E-3</v>
      </c>
      <c r="AL48" s="35">
        <v>4.13E-3</v>
      </c>
      <c r="AM48" s="35">
        <v>0.6901767562683534</v>
      </c>
      <c r="AN48" s="35">
        <v>3.009170657330021E-3</v>
      </c>
      <c r="AO48" s="35">
        <v>4.3600000000000002E-3</v>
      </c>
      <c r="AP48" s="35">
        <v>1.1665348994804607</v>
      </c>
      <c r="AQ48" s="35">
        <v>4.4095019200361416E-3</v>
      </c>
      <c r="AR48" s="35">
        <v>3.7799999999999999E-3</v>
      </c>
    </row>
    <row r="49" spans="3:44" x14ac:dyDescent="0.25">
      <c r="C49" s="15">
        <v>3765</v>
      </c>
      <c r="D49" s="1">
        <v>1.1803E-10</v>
      </c>
      <c r="E49" s="1">
        <v>1.1803E-10</v>
      </c>
      <c r="F49">
        <v>4.13E-3</v>
      </c>
      <c r="G49" s="13">
        <f t="shared" si="1"/>
        <v>1.1664360740908064</v>
      </c>
      <c r="H49" s="13">
        <f t="shared" si="2"/>
        <v>1.1664360740908064</v>
      </c>
      <c r="I49" s="13">
        <f t="shared" si="3"/>
        <v>1.1664360740908064</v>
      </c>
      <c r="J49" s="14">
        <f t="shared" si="4"/>
        <v>4.8173809859950309E-3</v>
      </c>
      <c r="K49" s="14">
        <f t="shared" si="5"/>
        <v>4.13E-3</v>
      </c>
      <c r="N49" s="6">
        <v>3765</v>
      </c>
      <c r="O49" s="6">
        <v>0.85315958888637899</v>
      </c>
      <c r="P49" s="6">
        <v>2.9348689857691436E-3</v>
      </c>
      <c r="Q49" s="6">
        <v>3.4399999999999999E-3</v>
      </c>
      <c r="R49" s="23">
        <v>0.95052730404337027</v>
      </c>
      <c r="S49" s="23">
        <v>3.9256777656991194E-3</v>
      </c>
      <c r="T49" s="23">
        <v>4.13E-3</v>
      </c>
      <c r="U49" s="23">
        <v>0.765941241246894</v>
      </c>
      <c r="V49" s="23">
        <v>1.8995342782922972E-3</v>
      </c>
      <c r="W49" s="23">
        <v>2.48E-3</v>
      </c>
      <c r="X49" s="23">
        <v>0.93789741924553871</v>
      </c>
      <c r="Y49" s="23">
        <v>4.2955701801445671E-3</v>
      </c>
      <c r="Z49" s="23">
        <v>4.5799999999999999E-3</v>
      </c>
      <c r="AA49" s="29">
        <v>1.0214592274678114</v>
      </c>
      <c r="AB49" s="29">
        <v>3.3810300429184558E-3</v>
      </c>
      <c r="AC49" s="29">
        <v>3.31E-3</v>
      </c>
      <c r="AD49" s="29">
        <v>0.92299949175513896</v>
      </c>
      <c r="AE49" s="29">
        <v>3.3320281652360517E-3</v>
      </c>
      <c r="AF49" s="29">
        <v>3.6099999999999999E-3</v>
      </c>
      <c r="AG49" s="29">
        <v>1.0123672916196069</v>
      </c>
      <c r="AH49" s="29">
        <v>4.413921391461486E-3</v>
      </c>
      <c r="AI49" s="29">
        <v>4.3600000000000002E-3</v>
      </c>
      <c r="AJ49" s="35">
        <v>0.61799469166478427</v>
      </c>
      <c r="AK49" s="35">
        <v>2.4719787666591373E-3</v>
      </c>
      <c r="AL49" s="35">
        <v>4.0000000000000001E-3</v>
      </c>
      <c r="AM49" s="35">
        <v>0.6901767562683534</v>
      </c>
      <c r="AN49" s="35">
        <v>2.4087168793765533E-3</v>
      </c>
      <c r="AO49" s="35">
        <v>3.49E-3</v>
      </c>
      <c r="AP49" s="35">
        <v>1.1664360740908064</v>
      </c>
      <c r="AQ49" s="35">
        <v>4.8173809859950309E-3</v>
      </c>
      <c r="AR49" s="35">
        <v>4.13E-3</v>
      </c>
    </row>
    <row r="50" spans="3:44" x14ac:dyDescent="0.25">
      <c r="C50" s="15">
        <v>4037</v>
      </c>
      <c r="D50" s="1">
        <v>1.1825000000000001E-10</v>
      </c>
      <c r="E50" s="1">
        <v>1.1825000000000001E-10</v>
      </c>
      <c r="F50">
        <v>3.8899999999999998E-3</v>
      </c>
      <c r="G50" s="13">
        <f t="shared" si="1"/>
        <v>1.1686102326632031</v>
      </c>
      <c r="H50" s="13">
        <f t="shared" si="2"/>
        <v>1.1686102326632031</v>
      </c>
      <c r="I50" s="13">
        <f t="shared" si="3"/>
        <v>1.1686102326632031</v>
      </c>
      <c r="J50" s="14">
        <f t="shared" si="4"/>
        <v>4.5458938050598596E-3</v>
      </c>
      <c r="K50" s="14">
        <f t="shared" si="5"/>
        <v>3.8899999999999998E-3</v>
      </c>
      <c r="N50" s="6">
        <v>4037</v>
      </c>
      <c r="O50" s="6">
        <v>0.85302617461034558</v>
      </c>
      <c r="P50" s="6">
        <v>2.8917587319290715E-3</v>
      </c>
      <c r="Q50" s="6">
        <v>3.3899999999999998E-3</v>
      </c>
      <c r="R50" s="23">
        <v>0.95133767223853616</v>
      </c>
      <c r="S50" s="23">
        <v>3.6150831545064374E-3</v>
      </c>
      <c r="T50" s="23">
        <v>3.8E-3</v>
      </c>
      <c r="U50" s="23">
        <v>0.766593488818613</v>
      </c>
      <c r="V50" s="23">
        <v>1.7861628289473684E-3</v>
      </c>
      <c r="W50" s="23">
        <v>2.33E-3</v>
      </c>
      <c r="X50" s="23">
        <v>0.93858919697311949</v>
      </c>
      <c r="Y50" s="23">
        <v>4.3550538739552747E-3</v>
      </c>
      <c r="Z50" s="23">
        <v>4.64E-3</v>
      </c>
      <c r="AA50" s="29">
        <v>1.0219039417212559</v>
      </c>
      <c r="AB50" s="29">
        <v>4.802948526089903E-3</v>
      </c>
      <c r="AC50" s="29">
        <v>4.7000000000000002E-3</v>
      </c>
      <c r="AD50" s="29">
        <v>0.92319714253444762</v>
      </c>
      <c r="AE50" s="29">
        <v>2.8342152275807539E-3</v>
      </c>
      <c r="AF50" s="29">
        <v>3.0699999999999998E-3</v>
      </c>
      <c r="AG50" s="29">
        <v>1.0135037836006324</v>
      </c>
      <c r="AH50" s="29">
        <v>5.0371138044951426E-3</v>
      </c>
      <c r="AI50" s="29">
        <v>4.9699999999999996E-3</v>
      </c>
      <c r="AJ50" s="35">
        <v>0.61770315676530374</v>
      </c>
      <c r="AK50" s="35">
        <v>1.5071957025073412E-3</v>
      </c>
      <c r="AL50" s="35">
        <v>2.4399999999999999E-3</v>
      </c>
      <c r="AM50" s="35">
        <v>0.68965792297266781</v>
      </c>
      <c r="AN50" s="35">
        <v>3.3172546094985323E-3</v>
      </c>
      <c r="AO50" s="35">
        <v>4.81E-3</v>
      </c>
      <c r="AP50" s="35">
        <v>1.1686102326632031</v>
      </c>
      <c r="AQ50" s="35">
        <v>4.5458938050598596E-3</v>
      </c>
      <c r="AR50" s="35">
        <v>3.8899999999999998E-3</v>
      </c>
    </row>
    <row r="51" spans="3:44" x14ac:dyDescent="0.25">
      <c r="C51" s="15">
        <v>4329</v>
      </c>
      <c r="D51" s="1">
        <v>1.1806E-10</v>
      </c>
      <c r="E51" s="1">
        <v>1.1806E-10</v>
      </c>
      <c r="F51">
        <v>4.3800000000000002E-3</v>
      </c>
      <c r="G51" s="13">
        <f t="shared" si="1"/>
        <v>1.1667325502597694</v>
      </c>
      <c r="H51" s="13">
        <f t="shared" si="2"/>
        <v>1.1667325502597694</v>
      </c>
      <c r="I51" s="13">
        <f t="shared" si="3"/>
        <v>1.1667325502597694</v>
      </c>
      <c r="J51" s="14">
        <f t="shared" si="4"/>
        <v>5.1102885701377904E-3</v>
      </c>
      <c r="K51" s="14">
        <f t="shared" si="5"/>
        <v>4.3800000000000002E-3</v>
      </c>
      <c r="N51" s="6">
        <v>4329</v>
      </c>
      <c r="O51" s="6">
        <v>0.85363395075672011</v>
      </c>
      <c r="P51" s="6">
        <v>3.2523453523831038E-3</v>
      </c>
      <c r="Q51" s="6">
        <v>3.81E-3</v>
      </c>
      <c r="R51" s="23">
        <v>0.95014188502371799</v>
      </c>
      <c r="S51" s="23">
        <v>3.686550513892026E-3</v>
      </c>
      <c r="T51" s="23">
        <v>3.8800000000000002E-3</v>
      </c>
      <c r="U51" s="23">
        <v>0.76481957307431669</v>
      </c>
      <c r="V51" s="23">
        <v>2.2409213491077478E-3</v>
      </c>
      <c r="W51" s="23">
        <v>2.9299999999999999E-3</v>
      </c>
      <c r="X51" s="23">
        <v>0.93839154619381071</v>
      </c>
      <c r="Y51" s="23">
        <v>4.6450381536593637E-3</v>
      </c>
      <c r="Z51" s="23">
        <v>4.9500000000000004E-3</v>
      </c>
      <c r="AA51" s="29">
        <v>1.0225957194488366</v>
      </c>
      <c r="AB51" s="29">
        <v>3.9881233058504627E-3</v>
      </c>
      <c r="AC51" s="29">
        <v>3.8999999999999998E-3</v>
      </c>
      <c r="AD51" s="29">
        <v>0.92302913937203512</v>
      </c>
      <c r="AE51" s="29">
        <v>3.3321351931330468E-3</v>
      </c>
      <c r="AF51" s="29">
        <v>3.6099999999999999E-3</v>
      </c>
      <c r="AG51" s="29">
        <v>1.012861418567879</v>
      </c>
      <c r="AH51" s="29">
        <v>4.335046871470522E-3</v>
      </c>
      <c r="AI51" s="29">
        <v>4.28E-3</v>
      </c>
      <c r="AJ51" s="35">
        <v>0.61769327422633835</v>
      </c>
      <c r="AK51" s="35">
        <v>2.2731112491529253E-3</v>
      </c>
      <c r="AL51" s="35">
        <v>3.6800000000000001E-3</v>
      </c>
      <c r="AM51" s="35">
        <v>0.68856590241698667</v>
      </c>
      <c r="AN51" s="35">
        <v>2.3342384091935846E-3</v>
      </c>
      <c r="AO51" s="35">
        <v>3.3899999999999998E-3</v>
      </c>
      <c r="AP51" s="35">
        <v>1.1667325502597694</v>
      </c>
      <c r="AQ51" s="35">
        <v>5.1102885701377904E-3</v>
      </c>
      <c r="AR51" s="35">
        <v>4.3800000000000002E-3</v>
      </c>
    </row>
    <row r="52" spans="3:44" x14ac:dyDescent="0.25">
      <c r="C52" s="15">
        <v>4642</v>
      </c>
      <c r="D52" s="1">
        <v>1.1822000000000001E-10</v>
      </c>
      <c r="E52" s="1">
        <v>1.1821E-10</v>
      </c>
      <c r="F52">
        <v>4.0200000000000001E-3</v>
      </c>
      <c r="G52" s="13">
        <f t="shared" si="1"/>
        <v>1.1683137564942401</v>
      </c>
      <c r="H52" s="13">
        <f t="shared" si="2"/>
        <v>1.1682149311045853</v>
      </c>
      <c r="I52" s="13">
        <f t="shared" si="3"/>
        <v>1.1682643437994127</v>
      </c>
      <c r="J52" s="14">
        <f t="shared" si="4"/>
        <v>4.6964226620736394E-3</v>
      </c>
      <c r="K52" s="14">
        <f t="shared" si="5"/>
        <v>4.0200000000000001E-3</v>
      </c>
      <c r="N52" s="6">
        <v>4642</v>
      </c>
      <c r="O52" s="6">
        <v>0.85328806189292972</v>
      </c>
      <c r="P52" s="6">
        <v>3.0206397391009713E-3</v>
      </c>
      <c r="Q52" s="6">
        <v>3.5400000000000002E-3</v>
      </c>
      <c r="R52" s="23">
        <v>0.95020118025751066</v>
      </c>
      <c r="S52" s="23">
        <v>4.0953670869098707E-3</v>
      </c>
      <c r="T52" s="23">
        <v>4.3099999999999996E-3</v>
      </c>
      <c r="U52" s="23">
        <v>0.76554099841879375</v>
      </c>
      <c r="V52" s="23">
        <v>2.4803528348768915E-3</v>
      </c>
      <c r="W52" s="23">
        <v>3.2399999999999998E-3</v>
      </c>
      <c r="X52" s="23">
        <v>0.93886590806415171</v>
      </c>
      <c r="Y52" s="23">
        <v>4.5441109950304943E-3</v>
      </c>
      <c r="Z52" s="23">
        <v>4.8399999999999997E-3</v>
      </c>
      <c r="AA52" s="29">
        <v>1.0218545290264287</v>
      </c>
      <c r="AB52" s="29">
        <v>4.7720606505534217E-3</v>
      </c>
      <c r="AC52" s="29">
        <v>4.6699999999999997E-3</v>
      </c>
      <c r="AD52" s="29">
        <v>0.92256466004065962</v>
      </c>
      <c r="AE52" s="29">
        <v>2.795370919923199E-3</v>
      </c>
      <c r="AF52" s="29">
        <v>3.0300000000000001E-3</v>
      </c>
      <c r="AG52" s="29">
        <v>1.0133061328213238</v>
      </c>
      <c r="AH52" s="29">
        <v>3.962026979331376E-3</v>
      </c>
      <c r="AI52" s="29">
        <v>3.9100000000000003E-3</v>
      </c>
      <c r="AJ52" s="35">
        <v>0.61777233453806191</v>
      </c>
      <c r="AK52" s="35">
        <v>1.9274496837587531E-3</v>
      </c>
      <c r="AL52" s="35">
        <v>3.1199999999999999E-3</v>
      </c>
      <c r="AM52" s="35">
        <v>0.68956898012197865</v>
      </c>
      <c r="AN52" s="35">
        <v>2.4134914304269253E-3</v>
      </c>
      <c r="AO52" s="35">
        <v>3.5000000000000001E-3</v>
      </c>
      <c r="AP52" s="35">
        <v>1.1682643437994127</v>
      </c>
      <c r="AQ52" s="35">
        <v>4.6964226620736394E-3</v>
      </c>
      <c r="AR52" s="35">
        <v>4.0200000000000001E-3</v>
      </c>
    </row>
    <row r="53" spans="3:44" x14ac:dyDescent="0.25">
      <c r="C53" s="15">
        <v>4977</v>
      </c>
      <c r="D53" s="1">
        <v>1.1816000000000001E-10</v>
      </c>
      <c r="E53" s="1">
        <v>1.1816000000000001E-10</v>
      </c>
      <c r="F53">
        <v>4.2500000000000003E-3</v>
      </c>
      <c r="G53" s="13">
        <f t="shared" si="1"/>
        <v>1.1677208041563134</v>
      </c>
      <c r="H53" s="13">
        <f t="shared" si="2"/>
        <v>1.1677208041563134</v>
      </c>
      <c r="I53" s="13">
        <f t="shared" si="3"/>
        <v>1.1677208041563134</v>
      </c>
      <c r="J53" s="14">
        <f t="shared" si="4"/>
        <v>4.9628134176643328E-3</v>
      </c>
      <c r="K53" s="14">
        <f t="shared" si="5"/>
        <v>4.2500000000000003E-3</v>
      </c>
      <c r="N53" s="6">
        <v>4977</v>
      </c>
      <c r="O53" s="6">
        <v>0.85335723966568788</v>
      </c>
      <c r="P53" s="6">
        <v>2.8587467528800544E-3</v>
      </c>
      <c r="Q53" s="6">
        <v>3.3500000000000001E-3</v>
      </c>
      <c r="R53" s="23">
        <v>0.95024071041337244</v>
      </c>
      <c r="S53" s="23">
        <v>3.9149917269030946E-3</v>
      </c>
      <c r="T53" s="23">
        <v>4.1200000000000004E-3</v>
      </c>
      <c r="U53" s="23">
        <v>0.76577817935396419</v>
      </c>
      <c r="V53" s="23">
        <v>2.9405882087192225E-3</v>
      </c>
      <c r="W53" s="23">
        <v>3.8400000000000001E-3</v>
      </c>
      <c r="X53" s="23">
        <v>0.93896967472328885</v>
      </c>
      <c r="Y53" s="23">
        <v>4.8732526118138693E-3</v>
      </c>
      <c r="Z53" s="23">
        <v>5.1900000000000002E-3</v>
      </c>
      <c r="AA53" s="29">
        <v>1.0222498305850463</v>
      </c>
      <c r="AB53" s="29">
        <v>4.4161192681274001E-3</v>
      </c>
      <c r="AC53" s="29">
        <v>4.3200000000000001E-3</v>
      </c>
      <c r="AD53" s="29">
        <v>0.92322679015134401</v>
      </c>
      <c r="AE53" s="29">
        <v>3.1389710865145693E-3</v>
      </c>
      <c r="AF53" s="29">
        <v>3.3999999999999998E-3</v>
      </c>
      <c r="AG53" s="29">
        <v>1.0134049582109781</v>
      </c>
      <c r="AH53" s="29">
        <v>4.9048799977411336E-3</v>
      </c>
      <c r="AI53" s="29">
        <v>4.8399999999999997E-3</v>
      </c>
      <c r="AJ53" s="35">
        <v>0.61770809803478643</v>
      </c>
      <c r="AK53" s="35">
        <v>2.2052179099841876E-3</v>
      </c>
      <c r="AL53" s="35">
        <v>3.5699999999999998E-3</v>
      </c>
      <c r="AM53" s="35">
        <v>0.68977157217077023</v>
      </c>
      <c r="AN53" s="35">
        <v>2.7245977100745426E-3</v>
      </c>
      <c r="AO53" s="35">
        <v>3.9500000000000004E-3</v>
      </c>
      <c r="AP53" s="35">
        <v>1.1677208041563134</v>
      </c>
      <c r="AQ53" s="35">
        <v>4.9628134176643328E-3</v>
      </c>
      <c r="AR53" s="35">
        <v>4.2500000000000003E-3</v>
      </c>
    </row>
    <row r="54" spans="3:44" x14ac:dyDescent="0.25">
      <c r="C54" s="15">
        <v>5337</v>
      </c>
      <c r="D54" s="1">
        <v>1.1818E-10</v>
      </c>
      <c r="E54" s="1">
        <v>1.1818E-10</v>
      </c>
      <c r="F54">
        <v>4.13E-3</v>
      </c>
      <c r="G54" s="13">
        <f t="shared" si="1"/>
        <v>1.1679184549356223</v>
      </c>
      <c r="H54" s="13">
        <f t="shared" si="2"/>
        <v>1.1679184549356223</v>
      </c>
      <c r="I54" s="13">
        <f t="shared" si="3"/>
        <v>1.1679184549356223</v>
      </c>
      <c r="J54" s="14">
        <f t="shared" si="4"/>
        <v>4.8235032188841198E-3</v>
      </c>
      <c r="K54" s="14">
        <f t="shared" si="5"/>
        <v>4.13E-3</v>
      </c>
      <c r="N54" s="6">
        <v>5337</v>
      </c>
      <c r="O54" s="6">
        <v>0.85303111587982827</v>
      </c>
      <c r="P54" s="6">
        <v>3.1476848175965664E-3</v>
      </c>
      <c r="Q54" s="6">
        <v>3.6900000000000001E-3</v>
      </c>
      <c r="R54" s="23">
        <v>0.95034941834199227</v>
      </c>
      <c r="S54" s="23">
        <v>4.115012981420826E-3</v>
      </c>
      <c r="T54" s="23">
        <v>4.3299999999999996E-3</v>
      </c>
      <c r="U54" s="23">
        <v>0.76535323017845047</v>
      </c>
      <c r="V54" s="23">
        <v>2.8011928224531287E-3</v>
      </c>
      <c r="W54" s="23">
        <v>3.6600000000000001E-3</v>
      </c>
      <c r="X54" s="23">
        <v>0.93891037948949618</v>
      </c>
      <c r="Y54" s="23">
        <v>5.0419487378585946E-3</v>
      </c>
      <c r="Z54" s="23">
        <v>5.3699999999999998E-3</v>
      </c>
      <c r="AA54" s="29">
        <v>1.0226451321436638</v>
      </c>
      <c r="AB54" s="29">
        <v>4.2542037497176411E-3</v>
      </c>
      <c r="AC54" s="29">
        <v>4.1599999999999996E-3</v>
      </c>
      <c r="AD54" s="29">
        <v>0.9224411283035916</v>
      </c>
      <c r="AE54" s="29">
        <v>3.2193195377795349E-3</v>
      </c>
      <c r="AF54" s="29">
        <v>3.49E-3</v>
      </c>
      <c r="AG54" s="29">
        <v>1.0132567201264964</v>
      </c>
      <c r="AH54" s="29">
        <v>4.6812460469844129E-3</v>
      </c>
      <c r="AI54" s="29">
        <v>4.62E-3</v>
      </c>
      <c r="AJ54" s="35">
        <v>0.61753021233340866</v>
      </c>
      <c r="AK54" s="35">
        <v>2.2972123898802803E-3</v>
      </c>
      <c r="AL54" s="35">
        <v>3.7200000000000002E-3</v>
      </c>
      <c r="AM54" s="35">
        <v>0.68956403885249595</v>
      </c>
      <c r="AN54" s="35">
        <v>2.5789695053083346E-3</v>
      </c>
      <c r="AO54" s="35">
        <v>3.7399999999999998E-3</v>
      </c>
      <c r="AP54" s="35">
        <v>1.1679184549356223</v>
      </c>
      <c r="AQ54" s="35">
        <v>4.8235032188841198E-3</v>
      </c>
      <c r="AR54" s="35">
        <v>4.13E-3</v>
      </c>
    </row>
    <row r="55" spans="3:44" x14ac:dyDescent="0.25">
      <c r="C55" s="15">
        <v>5722</v>
      </c>
      <c r="D55" s="1">
        <v>1.1822000000000001E-10</v>
      </c>
      <c r="E55" s="1">
        <v>1.1822000000000001E-10</v>
      </c>
      <c r="F55">
        <v>4.4099999999999999E-3</v>
      </c>
      <c r="G55" s="13">
        <f t="shared" si="1"/>
        <v>1.1683137564942401</v>
      </c>
      <c r="H55" s="13">
        <f t="shared" si="2"/>
        <v>1.1683137564942401</v>
      </c>
      <c r="I55" s="13">
        <f t="shared" si="3"/>
        <v>1.1683137564942401</v>
      </c>
      <c r="J55" s="14">
        <f t="shared" si="4"/>
        <v>5.1522636661395982E-3</v>
      </c>
      <c r="K55" s="14">
        <f t="shared" si="5"/>
        <v>4.4099999999999999E-3</v>
      </c>
      <c r="N55" s="6">
        <v>5722</v>
      </c>
      <c r="O55" s="6">
        <v>0.85294217302913933</v>
      </c>
      <c r="P55" s="6">
        <v>3.1473566184775244E-3</v>
      </c>
      <c r="Q55" s="6">
        <v>3.6900000000000001E-3</v>
      </c>
      <c r="R55" s="23">
        <v>0.9504680088095776</v>
      </c>
      <c r="S55" s="23">
        <v>3.9539469166478425E-3</v>
      </c>
      <c r="T55" s="23">
        <v>4.1599999999999996E-3</v>
      </c>
      <c r="U55" s="23">
        <v>0.76580288570137789</v>
      </c>
      <c r="V55" s="23">
        <v>2.8717608213801671E-3</v>
      </c>
      <c r="W55" s="23">
        <v>3.7499999999999999E-3</v>
      </c>
      <c r="X55" s="23">
        <v>0.93957250960018079</v>
      </c>
      <c r="Y55" s="23">
        <v>4.8294026993449292E-3</v>
      </c>
      <c r="Z55" s="23">
        <v>5.1399999999999996E-3</v>
      </c>
      <c r="AA55" s="29">
        <v>1.0225463067540095</v>
      </c>
      <c r="AB55" s="29">
        <v>4.1515380054212786E-3</v>
      </c>
      <c r="AC55" s="29">
        <v>4.0600000000000002E-3</v>
      </c>
      <c r="AD55" s="29">
        <v>0.92303902191100073</v>
      </c>
      <c r="AE55" s="29">
        <v>3.2675581375649428E-3</v>
      </c>
      <c r="AF55" s="29">
        <v>3.5400000000000002E-3</v>
      </c>
      <c r="AG55" s="29">
        <v>1.0133061328213238</v>
      </c>
      <c r="AH55" s="29">
        <v>4.6409420883216628E-3</v>
      </c>
      <c r="AI55" s="29">
        <v>4.5799999999999999E-3</v>
      </c>
      <c r="AJ55" s="35">
        <v>0.61732267901513449</v>
      </c>
      <c r="AK55" s="35">
        <v>2.1914955105037277E-3</v>
      </c>
      <c r="AL55" s="35">
        <v>3.5500000000000002E-3</v>
      </c>
      <c r="AM55" s="35">
        <v>0.68986545629094187</v>
      </c>
      <c r="AN55" s="35">
        <v>2.573198151965213E-3</v>
      </c>
      <c r="AO55" s="35">
        <v>3.7299999999999998E-3</v>
      </c>
      <c r="AP55" s="35">
        <v>1.1683137564942401</v>
      </c>
      <c r="AQ55" s="35">
        <v>5.1522636661395982E-3</v>
      </c>
      <c r="AR55" s="35">
        <v>4.4099999999999999E-3</v>
      </c>
    </row>
    <row r="56" spans="3:44" x14ac:dyDescent="0.25">
      <c r="C56" s="15">
        <v>6136</v>
      </c>
      <c r="D56" s="1">
        <v>1.1834E-10</v>
      </c>
      <c r="E56" s="1">
        <v>1.1834E-10</v>
      </c>
      <c r="F56">
        <v>4.3E-3</v>
      </c>
      <c r="G56" s="13">
        <f t="shared" si="1"/>
        <v>1.1694996611700925</v>
      </c>
      <c r="H56" s="13">
        <f t="shared" si="2"/>
        <v>1.1694996611700925</v>
      </c>
      <c r="I56" s="13">
        <f t="shared" si="3"/>
        <v>1.1694996611700925</v>
      </c>
      <c r="J56" s="14">
        <f t="shared" si="4"/>
        <v>5.0288485430313975E-3</v>
      </c>
      <c r="K56" s="14">
        <f t="shared" si="5"/>
        <v>4.3E-3</v>
      </c>
      <c r="N56" s="6">
        <v>6136</v>
      </c>
      <c r="O56" s="6">
        <v>0.85261604924327994</v>
      </c>
      <c r="P56" s="6">
        <v>3.316676431556359E-3</v>
      </c>
      <c r="Q56" s="6">
        <v>3.8899999999999998E-3</v>
      </c>
      <c r="R56" s="23">
        <v>0.95031482945561319</v>
      </c>
      <c r="S56" s="23">
        <v>1.872120214027558E-3</v>
      </c>
      <c r="T56" s="23">
        <v>1.97E-3</v>
      </c>
      <c r="U56" s="23">
        <v>0.76655889993223392</v>
      </c>
      <c r="V56" s="23">
        <v>4.5456942765981475E-3</v>
      </c>
      <c r="W56" s="23">
        <v>5.9300000000000004E-3</v>
      </c>
      <c r="X56" s="23">
        <v>0.94021487463293418</v>
      </c>
      <c r="Y56" s="23">
        <v>4.7574872656426471E-3</v>
      </c>
      <c r="Z56" s="23">
        <v>5.0600000000000003E-3</v>
      </c>
      <c r="AA56" s="29">
        <v>1.0213604020781566</v>
      </c>
      <c r="AB56" s="29">
        <v>5.4336373390557928E-3</v>
      </c>
      <c r="AC56" s="29">
        <v>5.3200000000000001E-3</v>
      </c>
      <c r="AD56" s="29">
        <v>0.92254983623221154</v>
      </c>
      <c r="AE56" s="29">
        <v>4.0038662892477985E-3</v>
      </c>
      <c r="AF56" s="29">
        <v>4.3400000000000001E-3</v>
      </c>
      <c r="AG56" s="29">
        <v>1.0144920374971764</v>
      </c>
      <c r="AH56" s="29">
        <v>5.4376773209848656E-3</v>
      </c>
      <c r="AI56" s="29">
        <v>5.3600000000000002E-3</v>
      </c>
      <c r="AJ56" s="35">
        <v>0.61749562344702957</v>
      </c>
      <c r="AK56" s="35">
        <v>1.9080614764513213E-3</v>
      </c>
      <c r="AL56" s="35">
        <v>3.0899999999999999E-3</v>
      </c>
      <c r="AM56" s="35">
        <v>0.69021134515473226</v>
      </c>
      <c r="AN56" s="35">
        <v>3.4510567257736613E-3</v>
      </c>
      <c r="AO56" s="35">
        <v>5.0000000000000001E-3</v>
      </c>
      <c r="AP56" s="35">
        <v>1.1694996611700925</v>
      </c>
      <c r="AQ56" s="35">
        <v>5.0288485430313975E-3</v>
      </c>
      <c r="AR56" s="35">
        <v>4.3E-3</v>
      </c>
    </row>
    <row r="57" spans="3:44" x14ac:dyDescent="0.25">
      <c r="C57" s="15">
        <v>6579</v>
      </c>
      <c r="D57" s="1">
        <v>1.1829000000000001E-10</v>
      </c>
      <c r="E57" s="1">
        <v>1.1828E-10</v>
      </c>
      <c r="F57">
        <v>4.1399999999999996E-3</v>
      </c>
      <c r="G57" s="13">
        <f t="shared" si="1"/>
        <v>1.1690055342218206</v>
      </c>
      <c r="H57" s="13">
        <f t="shared" si="2"/>
        <v>1.1689067088321663</v>
      </c>
      <c r="I57" s="13">
        <f t="shared" si="3"/>
        <v>1.1689561215269935</v>
      </c>
      <c r="J57" s="14">
        <f t="shared" si="4"/>
        <v>4.8394783431217527E-3</v>
      </c>
      <c r="K57" s="14">
        <f t="shared" si="5"/>
        <v>4.1399999999999996E-3</v>
      </c>
      <c r="N57" s="6">
        <v>6579</v>
      </c>
      <c r="O57" s="6">
        <v>0.85297182064603572</v>
      </c>
      <c r="P57" s="6">
        <v>3.1133471453580305E-3</v>
      </c>
      <c r="Q57" s="6">
        <v>3.65E-3</v>
      </c>
      <c r="R57" s="23">
        <v>0.94986517393268577</v>
      </c>
      <c r="S57" s="23">
        <v>4.0749215961712222E-3</v>
      </c>
      <c r="T57" s="23">
        <v>4.2900000000000004E-3</v>
      </c>
      <c r="U57" s="23">
        <v>0.76541252541224303</v>
      </c>
      <c r="V57" s="23">
        <v>2.7172144652134627E-3</v>
      </c>
      <c r="W57" s="23">
        <v>3.5500000000000002E-3</v>
      </c>
      <c r="X57" s="23">
        <v>0.93968121752880052</v>
      </c>
      <c r="Y57" s="23">
        <v>4.9803104529026424E-3</v>
      </c>
      <c r="Z57" s="23">
        <v>5.3E-3</v>
      </c>
      <c r="AA57" s="29">
        <v>1.0224474813643551</v>
      </c>
      <c r="AB57" s="29">
        <v>4.3351773209848654E-3</v>
      </c>
      <c r="AC57" s="29">
        <v>4.2399999999999998E-3</v>
      </c>
      <c r="AD57" s="29">
        <v>0.92253007115428054</v>
      </c>
      <c r="AE57" s="29">
        <v>3.5425154732324372E-3</v>
      </c>
      <c r="AF57" s="29">
        <v>3.8400000000000001E-3</v>
      </c>
      <c r="AG57" s="29">
        <v>1.012910831262706</v>
      </c>
      <c r="AH57" s="29">
        <v>4.7404226903094643E-3</v>
      </c>
      <c r="AI57" s="29">
        <v>4.6800000000000001E-3</v>
      </c>
      <c r="AJ57" s="35">
        <v>0.61703608538513666</v>
      </c>
      <c r="AK57" s="35">
        <v>2.2645224333634516E-3</v>
      </c>
      <c r="AL57" s="35">
        <v>3.6700000000000001E-3</v>
      </c>
      <c r="AM57" s="35">
        <v>0.68982098486559751</v>
      </c>
      <c r="AN57" s="35">
        <v>2.7799785690083576E-3</v>
      </c>
      <c r="AO57" s="35">
        <v>4.0299999999999997E-3</v>
      </c>
      <c r="AP57" s="35">
        <v>1.1689561215269935</v>
      </c>
      <c r="AQ57" s="35">
        <v>4.8394783431217527E-3</v>
      </c>
      <c r="AR57" s="35">
        <v>4.1399999999999996E-3</v>
      </c>
    </row>
    <row r="58" spans="3:44" x14ac:dyDescent="0.25">
      <c r="C58" s="15">
        <v>7055</v>
      </c>
      <c r="D58" s="1">
        <v>1.1832000000000001E-10</v>
      </c>
      <c r="E58" s="1">
        <v>1.1832000000000001E-10</v>
      </c>
      <c r="F58">
        <v>4.3E-3</v>
      </c>
      <c r="G58" s="13">
        <f t="shared" si="1"/>
        <v>1.1693020103907841</v>
      </c>
      <c r="H58" s="13">
        <f t="shared" si="2"/>
        <v>1.1693020103907841</v>
      </c>
      <c r="I58" s="13">
        <f t="shared" si="3"/>
        <v>1.1693020103907841</v>
      </c>
      <c r="J58" s="14">
        <f t="shared" si="4"/>
        <v>5.0279986446803713E-3</v>
      </c>
      <c r="K58" s="14">
        <f t="shared" si="5"/>
        <v>4.3E-3</v>
      </c>
      <c r="N58" s="6">
        <v>7055</v>
      </c>
      <c r="O58" s="6">
        <v>0.85258146035690086</v>
      </c>
      <c r="P58" s="6">
        <v>3.3165418807883443E-3</v>
      </c>
      <c r="Q58" s="6">
        <v>3.8899999999999998E-3</v>
      </c>
      <c r="R58" s="23">
        <v>0.95005788344251185</v>
      </c>
      <c r="S58" s="23">
        <v>3.895237322114299E-3</v>
      </c>
      <c r="T58" s="23">
        <v>4.1000000000000003E-3</v>
      </c>
      <c r="U58" s="23">
        <v>0.76544711429862211</v>
      </c>
      <c r="V58" s="23">
        <v>3.1612965820533093E-3</v>
      </c>
      <c r="W58" s="23">
        <v>4.13E-3</v>
      </c>
      <c r="X58" s="23">
        <v>0.93988875084707479</v>
      </c>
      <c r="Y58" s="23">
        <v>5.0941970295911455E-3</v>
      </c>
      <c r="Z58" s="23">
        <v>5.4200000000000003E-3</v>
      </c>
      <c r="AA58" s="29">
        <v>1.0226945448384912</v>
      </c>
      <c r="AB58" s="29">
        <v>4.8577990879828331E-3</v>
      </c>
      <c r="AC58" s="29">
        <v>4.7499999999999999E-3</v>
      </c>
      <c r="AD58" s="29">
        <v>0.92263877908290037</v>
      </c>
      <c r="AE58" s="29">
        <v>3.3676315436525863E-3</v>
      </c>
      <c r="AF58" s="29">
        <v>3.65E-3</v>
      </c>
      <c r="AG58" s="29">
        <v>1.0126637677885701</v>
      </c>
      <c r="AH58" s="29">
        <v>4.8101528969957084E-3</v>
      </c>
      <c r="AI58" s="29">
        <v>4.7499999999999999E-3</v>
      </c>
      <c r="AJ58" s="35">
        <v>0.61734244409306527</v>
      </c>
      <c r="AK58" s="35">
        <v>2.2409530720578271E-3</v>
      </c>
      <c r="AL58" s="35">
        <v>3.63E-3</v>
      </c>
      <c r="AM58" s="35">
        <v>0.68955909758301326</v>
      </c>
      <c r="AN58" s="35">
        <v>2.909939391800316E-3</v>
      </c>
      <c r="AO58" s="35">
        <v>4.2199999999999998E-3</v>
      </c>
      <c r="AP58" s="35">
        <v>1.1693020103907841</v>
      </c>
      <c r="AQ58" s="35">
        <v>5.0279986446803713E-3</v>
      </c>
      <c r="AR58" s="35">
        <v>4.3E-3</v>
      </c>
    </row>
    <row r="59" spans="3:44" x14ac:dyDescent="0.25">
      <c r="C59" s="15">
        <v>7565</v>
      </c>
      <c r="D59" s="1">
        <v>1.1831E-10</v>
      </c>
      <c r="E59" s="1">
        <v>1.1829999999999999E-10</v>
      </c>
      <c r="F59">
        <v>4.4600000000000004E-3</v>
      </c>
      <c r="G59" s="13">
        <f t="shared" si="1"/>
        <v>1.1692031850011293</v>
      </c>
      <c r="H59" s="13">
        <f t="shared" si="2"/>
        <v>1.169104359611475</v>
      </c>
      <c r="I59" s="13">
        <f t="shared" si="3"/>
        <v>1.1691537723063021</v>
      </c>
      <c r="J59" s="14">
        <f t="shared" si="4"/>
        <v>5.2144258244861078E-3</v>
      </c>
      <c r="K59" s="14">
        <f t="shared" si="5"/>
        <v>4.4600000000000004E-3</v>
      </c>
      <c r="N59" s="6">
        <v>7565</v>
      </c>
      <c r="O59" s="6">
        <v>0.85273958098034774</v>
      </c>
      <c r="P59" s="6">
        <v>3.2318830119155181E-3</v>
      </c>
      <c r="Q59" s="6">
        <v>3.79E-3</v>
      </c>
      <c r="R59" s="23">
        <v>0.95024071041337244</v>
      </c>
      <c r="S59" s="23">
        <v>4.200063940027106E-3</v>
      </c>
      <c r="T59" s="23">
        <v>4.4200000000000003E-3</v>
      </c>
      <c r="U59" s="23">
        <v>0.76534334763948497</v>
      </c>
      <c r="V59" s="23">
        <v>2.9006512875536482E-3</v>
      </c>
      <c r="W59" s="23">
        <v>3.79E-3</v>
      </c>
      <c r="X59" s="23">
        <v>0.94021487463293418</v>
      </c>
      <c r="Y59" s="23">
        <v>5.1335732154958206E-3</v>
      </c>
      <c r="Z59" s="23">
        <v>5.4599999999999996E-3</v>
      </c>
      <c r="AA59" s="29">
        <v>1.0228427829229727</v>
      </c>
      <c r="AB59" s="29">
        <v>4.919873785859499E-3</v>
      </c>
      <c r="AC59" s="29">
        <v>4.81E-3</v>
      </c>
      <c r="AD59" s="29">
        <v>0.92276231081996829</v>
      </c>
      <c r="AE59" s="29">
        <v>3.5710901428732773E-3</v>
      </c>
      <c r="AF59" s="29">
        <v>3.8700000000000002E-3</v>
      </c>
      <c r="AG59" s="29">
        <v>1.0129602439575331</v>
      </c>
      <c r="AH59" s="29">
        <v>5.2572636661395973E-3</v>
      </c>
      <c r="AI59" s="29">
        <v>5.1900000000000002E-3</v>
      </c>
      <c r="AJ59" s="35">
        <v>0.61709538061892932</v>
      </c>
      <c r="AK59" s="35">
        <v>2.4868943838942852E-3</v>
      </c>
      <c r="AL59" s="35">
        <v>4.0299999999999997E-3</v>
      </c>
      <c r="AM59" s="35">
        <v>0.68975180709283923</v>
      </c>
      <c r="AN59" s="35">
        <v>2.6900320476620728E-3</v>
      </c>
      <c r="AO59" s="35">
        <v>3.8999999999999998E-3</v>
      </c>
      <c r="AP59" s="35">
        <v>1.1691537723063021</v>
      </c>
      <c r="AQ59" s="35">
        <v>5.2144258244861078E-3</v>
      </c>
      <c r="AR59" s="35">
        <v>4.4600000000000004E-3</v>
      </c>
    </row>
    <row r="60" spans="3:44" x14ac:dyDescent="0.25">
      <c r="C60" s="15">
        <v>8111</v>
      </c>
      <c r="D60" s="1">
        <v>1.1838000000000001E-10</v>
      </c>
      <c r="E60" s="1">
        <v>1.1837E-10</v>
      </c>
      <c r="F60">
        <v>8.0099999999999998E-3</v>
      </c>
      <c r="G60" s="13">
        <f t="shared" si="1"/>
        <v>1.1698949627287103</v>
      </c>
      <c r="H60" s="13">
        <f t="shared" si="2"/>
        <v>1.169796137339056</v>
      </c>
      <c r="I60" s="13">
        <f t="shared" si="3"/>
        <v>1.1698455500338831</v>
      </c>
      <c r="J60" s="14">
        <f t="shared" si="4"/>
        <v>9.3704628557714029E-3</v>
      </c>
      <c r="K60" s="14">
        <f t="shared" si="5"/>
        <v>8.0099999999999998E-3</v>
      </c>
      <c r="N60" s="6">
        <v>8111</v>
      </c>
      <c r="O60" s="6">
        <v>0.85055553986898569</v>
      </c>
      <c r="P60" s="6">
        <v>3.5298054904562906E-3</v>
      </c>
      <c r="Q60" s="6">
        <v>4.15E-3</v>
      </c>
      <c r="R60" s="23">
        <v>0.95049765642647388</v>
      </c>
      <c r="S60" s="23">
        <v>6.1972447199006098E-3</v>
      </c>
      <c r="T60" s="23">
        <v>6.5199999999999998E-3</v>
      </c>
      <c r="U60" s="23">
        <v>0.76505181274000456</v>
      </c>
      <c r="V60" s="23">
        <v>5.2788575079060311E-3</v>
      </c>
      <c r="W60" s="23">
        <v>6.8999999999999999E-3</v>
      </c>
      <c r="X60" s="23">
        <v>0.93932050485656204</v>
      </c>
      <c r="Y60" s="23">
        <v>2.2637624167043142E-3</v>
      </c>
      <c r="Z60" s="23">
        <v>2.4099999999999998E-3</v>
      </c>
      <c r="AA60" s="29">
        <v>1.0246216399367516</v>
      </c>
      <c r="AB60" s="29">
        <v>7.3875220239439793E-3</v>
      </c>
      <c r="AC60" s="29">
        <v>7.2100000000000003E-3</v>
      </c>
      <c r="AD60" s="29">
        <v>0.9258456629771854</v>
      </c>
      <c r="AE60" s="29">
        <v>3.1015829709735714E-3</v>
      </c>
      <c r="AF60" s="29">
        <v>3.3500000000000001E-3</v>
      </c>
      <c r="AG60" s="29">
        <v>1.0133555455161509</v>
      </c>
      <c r="AH60" s="29">
        <v>1.1653588773435735E-3</v>
      </c>
      <c r="AI60" s="29">
        <v>1.15E-3</v>
      </c>
      <c r="AJ60" s="35">
        <v>0.61836528687598835</v>
      </c>
      <c r="AK60" s="35">
        <v>9.3991523605150239E-4</v>
      </c>
      <c r="AL60" s="35">
        <v>1.5200000000000001E-3</v>
      </c>
      <c r="AM60" s="35">
        <v>0.68849178337474592</v>
      </c>
      <c r="AN60" s="35">
        <v>8.9503931838716964E-4</v>
      </c>
      <c r="AO60" s="35">
        <v>1.2999999999999999E-3</v>
      </c>
      <c r="AP60" s="35">
        <v>1.1698455500338831</v>
      </c>
      <c r="AQ60" s="35">
        <v>9.3704628557714029E-3</v>
      </c>
      <c r="AR60" s="35">
        <v>8.0099999999999998E-3</v>
      </c>
    </row>
    <row r="61" spans="3:44" x14ac:dyDescent="0.25">
      <c r="C61" s="15">
        <v>8697</v>
      </c>
      <c r="D61" s="1">
        <v>1.1837E-10</v>
      </c>
      <c r="E61" s="1">
        <v>1.1835999999999999E-10</v>
      </c>
      <c r="F61">
        <v>4.5700000000000003E-3</v>
      </c>
      <c r="G61" s="13">
        <f t="shared" si="1"/>
        <v>1.169796137339056</v>
      </c>
      <c r="H61" s="13">
        <f t="shared" si="2"/>
        <v>1.1696973119494012</v>
      </c>
      <c r="I61" s="13">
        <f t="shared" si="3"/>
        <v>1.1697467246442286</v>
      </c>
      <c r="J61" s="14">
        <f t="shared" si="4"/>
        <v>5.3457425316241246E-3</v>
      </c>
      <c r="K61" s="14">
        <f t="shared" si="5"/>
        <v>4.5700000000000003E-3</v>
      </c>
      <c r="N61" s="6">
        <v>8697</v>
      </c>
      <c r="O61" s="6">
        <v>0.85241345719448836</v>
      </c>
      <c r="P61" s="6">
        <v>3.605708923932686E-3</v>
      </c>
      <c r="Q61" s="6">
        <v>4.2300000000000003E-3</v>
      </c>
      <c r="R61" s="23">
        <v>0.95002329455613266</v>
      </c>
      <c r="S61" s="23">
        <v>4.0946003995369316E-3</v>
      </c>
      <c r="T61" s="23">
        <v>4.3099999999999996E-3</v>
      </c>
      <c r="U61" s="23">
        <v>0.76526428732776153</v>
      </c>
      <c r="V61" s="23">
        <v>2.9156569347187715E-3</v>
      </c>
      <c r="W61" s="23">
        <v>3.81E-3</v>
      </c>
      <c r="X61" s="23">
        <v>0.94066947142534441</v>
      </c>
      <c r="Y61" s="23">
        <v>5.4276628501242373E-3</v>
      </c>
      <c r="Z61" s="23">
        <v>5.77E-3</v>
      </c>
      <c r="AA61" s="29">
        <v>1.0227933702281455</v>
      </c>
      <c r="AB61" s="29">
        <v>5.0730551163316023E-3</v>
      </c>
      <c r="AC61" s="29">
        <v>4.96E-3</v>
      </c>
      <c r="AD61" s="29">
        <v>0.92287596001807093</v>
      </c>
      <c r="AE61" s="29">
        <v>3.9314515896769825E-3</v>
      </c>
      <c r="AF61" s="29">
        <v>4.2599999999999999E-3</v>
      </c>
      <c r="AG61" s="29">
        <v>1.012861418567879</v>
      </c>
      <c r="AH61" s="29">
        <v>5.1250787779534681E-3</v>
      </c>
      <c r="AI61" s="29">
        <v>5.0600000000000003E-3</v>
      </c>
      <c r="AJ61" s="35">
        <v>0.6171250282358256</v>
      </c>
      <c r="AK61" s="35">
        <v>2.4561576123785858E-3</v>
      </c>
      <c r="AL61" s="35">
        <v>3.98E-3</v>
      </c>
      <c r="AM61" s="35">
        <v>0.6894849785407724</v>
      </c>
      <c r="AN61" s="35">
        <v>2.799309012875536E-3</v>
      </c>
      <c r="AO61" s="35">
        <v>4.0600000000000002E-3</v>
      </c>
      <c r="AP61" s="35">
        <v>1.1697467246442286</v>
      </c>
      <c r="AQ61" s="35">
        <v>5.3457425316241246E-3</v>
      </c>
      <c r="AR61" s="35">
        <v>4.5700000000000003E-3</v>
      </c>
    </row>
    <row r="62" spans="3:44" x14ac:dyDescent="0.25">
      <c r="C62" s="15">
        <v>9326</v>
      </c>
      <c r="D62" s="1">
        <v>1.1843E-10</v>
      </c>
      <c r="E62" s="1">
        <v>1.1841999999999999E-10</v>
      </c>
      <c r="F62">
        <v>4.7999999999999996E-3</v>
      </c>
      <c r="G62" s="13">
        <f t="shared" ref="G62:G93" si="6">(D62*$F$18)/($I$18*$F$17)</f>
        <v>1.1703890896769822</v>
      </c>
      <c r="H62" s="13">
        <f t="shared" ref="H62:H93" si="7">(E62*$F$18)/($I$18*$F$17)</f>
        <v>1.1702902642873276</v>
      </c>
      <c r="I62" s="13">
        <f t="shared" ref="I62:I93" si="8">AVERAGE(G62:H62)</f>
        <v>1.170339676982155</v>
      </c>
      <c r="J62" s="14">
        <f t="shared" si="4"/>
        <v>5.6176304495143435E-3</v>
      </c>
      <c r="K62" s="14">
        <f t="shared" si="5"/>
        <v>4.7999999999999996E-3</v>
      </c>
      <c r="N62" s="6">
        <v>9326</v>
      </c>
      <c r="O62" s="6">
        <v>0.85262593178224522</v>
      </c>
      <c r="P62" s="6">
        <v>3.6918702846171214E-3</v>
      </c>
      <c r="Q62" s="6">
        <v>4.3299999999999996E-3</v>
      </c>
      <c r="R62" s="23">
        <v>0.9498157612378586</v>
      </c>
      <c r="S62" s="23">
        <v>4.2171819798960926E-3</v>
      </c>
      <c r="T62" s="23">
        <v>4.4400000000000004E-3</v>
      </c>
      <c r="U62" s="23">
        <v>0.76524452224983053</v>
      </c>
      <c r="V62" s="23">
        <v>3.3441185622317591E-3</v>
      </c>
      <c r="W62" s="23">
        <v>4.3699999999999998E-3</v>
      </c>
      <c r="X62" s="23">
        <v>0.94112900948723732</v>
      </c>
      <c r="Y62" s="23">
        <v>5.3173789036028906E-3</v>
      </c>
      <c r="Z62" s="23">
        <v>5.6499999999999996E-3</v>
      </c>
      <c r="AA62" s="29">
        <v>1.0230898463971085</v>
      </c>
      <c r="AB62" s="29">
        <v>5.2586818104811374E-3</v>
      </c>
      <c r="AC62" s="29">
        <v>5.1399999999999996E-3</v>
      </c>
      <c r="AD62" s="29">
        <v>0.9224411283035916</v>
      </c>
      <c r="AE62" s="29">
        <v>4.0126189081206229E-3</v>
      </c>
      <c r="AF62" s="29">
        <v>4.3499999999999997E-3</v>
      </c>
      <c r="AG62" s="29">
        <v>1.0127625931782245</v>
      </c>
      <c r="AH62" s="29">
        <v>5.5499390106166701E-3</v>
      </c>
      <c r="AI62" s="29">
        <v>5.4799999999999996E-3</v>
      </c>
      <c r="AJ62" s="35">
        <v>0.6169767901513441</v>
      </c>
      <c r="AK62" s="35">
        <v>2.6653397334538064E-3</v>
      </c>
      <c r="AL62" s="35">
        <v>4.3200000000000001E-3</v>
      </c>
      <c r="AM62" s="35">
        <v>0.6894800372712897</v>
      </c>
      <c r="AN62" s="35">
        <v>3.2819249774113392E-3</v>
      </c>
      <c r="AO62" s="35">
        <v>4.7600000000000003E-3</v>
      </c>
      <c r="AP62" s="35">
        <v>1.170339676982155</v>
      </c>
      <c r="AQ62" s="35">
        <v>5.6176304495143435E-3</v>
      </c>
      <c r="AR62" s="35">
        <v>4.7999999999999996E-3</v>
      </c>
    </row>
    <row r="63" spans="3:44" x14ac:dyDescent="0.25">
      <c r="C63" s="15">
        <v>10000</v>
      </c>
      <c r="D63" s="1">
        <v>1.1853E-10</v>
      </c>
      <c r="E63" s="1">
        <v>1.1852E-10</v>
      </c>
      <c r="F63">
        <v>4.9800000000000001E-3</v>
      </c>
      <c r="G63" s="13">
        <f t="shared" si="6"/>
        <v>1.1713773435735262</v>
      </c>
      <c r="H63" s="13">
        <f t="shared" si="7"/>
        <v>1.1712785181838716</v>
      </c>
      <c r="I63" s="13">
        <f t="shared" si="8"/>
        <v>1.1713279308786988</v>
      </c>
      <c r="J63" s="14">
        <f t="shared" si="4"/>
        <v>5.8332130957759205E-3</v>
      </c>
      <c r="K63" s="14">
        <f t="shared" si="5"/>
        <v>4.9800000000000001E-3</v>
      </c>
      <c r="N63" s="6">
        <v>10000</v>
      </c>
      <c r="O63" s="6">
        <v>0.85251228258414269</v>
      </c>
      <c r="P63" s="6">
        <v>3.8448303944544834E-3</v>
      </c>
      <c r="Q63" s="6">
        <v>4.5100000000000001E-3</v>
      </c>
      <c r="R63" s="23">
        <v>0.94969222950079057</v>
      </c>
      <c r="S63" s="23">
        <v>5.2897857183194039E-3</v>
      </c>
      <c r="T63" s="23">
        <v>5.5700000000000003E-3</v>
      </c>
      <c r="U63" s="23">
        <v>0.76624265868533992</v>
      </c>
      <c r="V63" s="23">
        <v>2.9883463688728257E-3</v>
      </c>
      <c r="W63" s="23">
        <v>3.8999999999999998E-3</v>
      </c>
      <c r="X63" s="23">
        <v>0.94142548565620054</v>
      </c>
      <c r="Y63" s="23">
        <v>5.8368380110684435E-3</v>
      </c>
      <c r="Z63" s="23">
        <v>6.1999999999999998E-3</v>
      </c>
      <c r="AA63" s="29">
        <v>1.0220521798057376</v>
      </c>
      <c r="AB63" s="29">
        <v>5.0693788118364586E-3</v>
      </c>
      <c r="AC63" s="29">
        <v>4.96E-3</v>
      </c>
      <c r="AD63" s="29">
        <v>0.92352820758978993</v>
      </c>
      <c r="AE63" s="29">
        <v>3.3247015473232438E-3</v>
      </c>
      <c r="AF63" s="29">
        <v>3.5999999999999999E-3</v>
      </c>
      <c r="AG63" s="29">
        <v>1.0135531962954596</v>
      </c>
      <c r="AH63" s="29">
        <v>5.4630517280325266E-3</v>
      </c>
      <c r="AI63" s="29">
        <v>5.3899999999999998E-3</v>
      </c>
      <c r="AJ63" s="35">
        <v>0.61704596792410205</v>
      </c>
      <c r="AK63" s="35">
        <v>2.2337064038852493E-3</v>
      </c>
      <c r="AL63" s="35">
        <v>3.62E-3</v>
      </c>
      <c r="AM63" s="35">
        <v>0.68864496272871012</v>
      </c>
      <c r="AN63" s="35">
        <v>2.8991952930878698E-3</v>
      </c>
      <c r="AO63" s="35">
        <v>4.2100000000000002E-3</v>
      </c>
      <c r="AP63" s="35">
        <v>1.1713279308786988</v>
      </c>
      <c r="AQ63" s="35">
        <v>5.8332130957759205E-3</v>
      </c>
      <c r="AR63" s="35">
        <v>4.9800000000000001E-3</v>
      </c>
    </row>
    <row r="64" spans="3:44" x14ac:dyDescent="0.25">
      <c r="C64" s="15">
        <v>10720</v>
      </c>
      <c r="D64" s="1">
        <v>1.1873000000000001E-10</v>
      </c>
      <c r="E64" s="1">
        <v>1.1873000000000001E-10</v>
      </c>
      <c r="F64">
        <v>6.5599999999999999E-3</v>
      </c>
      <c r="G64" s="13">
        <f t="shared" si="6"/>
        <v>1.1733538513666142</v>
      </c>
      <c r="H64" s="13">
        <f t="shared" si="7"/>
        <v>1.1733538513666142</v>
      </c>
      <c r="I64" s="13">
        <f t="shared" si="8"/>
        <v>1.1733538513666142</v>
      </c>
      <c r="J64" s="14">
        <f t="shared" si="4"/>
        <v>7.6972012649649891E-3</v>
      </c>
      <c r="K64" s="14">
        <f t="shared" si="5"/>
        <v>6.5599999999999999E-3</v>
      </c>
      <c r="N64" s="6">
        <v>10720</v>
      </c>
      <c r="O64" s="6">
        <v>0.84963646374519997</v>
      </c>
      <c r="P64" s="6">
        <v>2.9567348938332959E-3</v>
      </c>
      <c r="Q64" s="6">
        <v>3.48E-3</v>
      </c>
      <c r="R64" s="23">
        <v>0.95303252767110913</v>
      </c>
      <c r="S64" s="23">
        <v>2.5541271741585728E-3</v>
      </c>
      <c r="T64" s="23">
        <v>2.6800000000000001E-3</v>
      </c>
      <c r="U64" s="23">
        <v>0.7710060424666817</v>
      </c>
      <c r="V64" s="23">
        <v>4.1634326293200812E-3</v>
      </c>
      <c r="W64" s="23">
        <v>5.4000000000000003E-3</v>
      </c>
      <c r="X64" s="23">
        <v>0.93960709848655966</v>
      </c>
      <c r="Y64" s="23">
        <v>2.8470095084142757E-3</v>
      </c>
      <c r="Z64" s="23">
        <v>3.0300000000000001E-3</v>
      </c>
      <c r="AA64" s="29">
        <v>1.0223486559747006</v>
      </c>
      <c r="AB64" s="29">
        <v>2.8523527501694147E-3</v>
      </c>
      <c r="AC64" s="29">
        <v>2.7899999999999999E-3</v>
      </c>
      <c r="AD64" s="29">
        <v>0.92244606957307429</v>
      </c>
      <c r="AE64" s="29">
        <v>3.4222749181161056E-3</v>
      </c>
      <c r="AF64" s="29">
        <v>3.7100000000000002E-3</v>
      </c>
      <c r="AG64" s="29">
        <v>1.0162708945109555</v>
      </c>
      <c r="AH64" s="29">
        <v>1.4217629814208269E-2</v>
      </c>
      <c r="AI64" s="29">
        <v>1.3990000000000001E-2</v>
      </c>
      <c r="AJ64" s="35">
        <v>0.61248023492206904</v>
      </c>
      <c r="AK64" s="35">
        <v>2.3396744974023037E-3</v>
      </c>
      <c r="AL64" s="35">
        <v>3.82E-3</v>
      </c>
      <c r="AM64" s="35">
        <v>0.68613479783148856</v>
      </c>
      <c r="AN64" s="35">
        <v>5.7772549977411344E-3</v>
      </c>
      <c r="AO64" s="35">
        <v>8.4200000000000004E-3</v>
      </c>
      <c r="AP64" s="35">
        <v>1.1733538513666142</v>
      </c>
      <c r="AQ64" s="35">
        <v>7.6972012649649891E-3</v>
      </c>
      <c r="AR64" s="35">
        <v>6.5599999999999999E-3</v>
      </c>
    </row>
    <row r="65" spans="3:44" x14ac:dyDescent="0.25">
      <c r="C65" s="15">
        <v>11500</v>
      </c>
      <c r="D65" s="1">
        <v>1.1791999999999999E-10</v>
      </c>
      <c r="E65" s="1">
        <v>1.1791999999999999E-10</v>
      </c>
      <c r="F65">
        <v>5.9699999999999996E-3</v>
      </c>
      <c r="G65" s="13">
        <f t="shared" si="6"/>
        <v>1.1653489948046081</v>
      </c>
      <c r="H65" s="13">
        <f t="shared" si="7"/>
        <v>1.1653489948046081</v>
      </c>
      <c r="I65" s="13">
        <f t="shared" si="8"/>
        <v>1.1653489948046081</v>
      </c>
      <c r="J65" s="14">
        <f t="shared" si="4"/>
        <v>6.9571334989835098E-3</v>
      </c>
      <c r="K65" s="14">
        <f t="shared" si="5"/>
        <v>5.9699999999999996E-3</v>
      </c>
      <c r="N65" s="6">
        <v>11500</v>
      </c>
      <c r="O65" s="6">
        <v>0.85232945561328211</v>
      </c>
      <c r="P65" s="6">
        <v>4.3724501072961372E-3</v>
      </c>
      <c r="Q65" s="6">
        <v>5.13E-3</v>
      </c>
      <c r="R65" s="23">
        <v>0.95719801784504166</v>
      </c>
      <c r="S65" s="23">
        <v>5.934627710639258E-3</v>
      </c>
      <c r="T65" s="23">
        <v>6.1999999999999998E-3</v>
      </c>
      <c r="U65" s="23">
        <v>0.76687514117912803</v>
      </c>
      <c r="V65" s="23">
        <v>1.8328315874181161E-3</v>
      </c>
      <c r="W65" s="23">
        <v>2.3900000000000002E-3</v>
      </c>
      <c r="X65" s="23">
        <v>0.94251750621188157</v>
      </c>
      <c r="Y65" s="23">
        <v>6.776700869663429E-3</v>
      </c>
      <c r="Z65" s="23">
        <v>7.1900000000000002E-3</v>
      </c>
      <c r="AA65" s="29">
        <v>1.0229416083126268</v>
      </c>
      <c r="AB65" s="29">
        <v>7.2935736672690293E-3</v>
      </c>
      <c r="AC65" s="29">
        <v>7.1300000000000001E-3</v>
      </c>
      <c r="AD65" s="29">
        <v>0.92734780889993207</v>
      </c>
      <c r="AE65" s="29">
        <v>6.0463077140275566E-3</v>
      </c>
      <c r="AF65" s="29">
        <v>6.5199999999999998E-3</v>
      </c>
      <c r="AG65" s="29">
        <v>1.0078707363903321</v>
      </c>
      <c r="AH65" s="29">
        <v>8.7785541139597939E-3</v>
      </c>
      <c r="AI65" s="29">
        <v>8.7100000000000007E-3</v>
      </c>
      <c r="AJ65" s="35">
        <v>0.61443697763722604</v>
      </c>
      <c r="AK65" s="35">
        <v>1.4746487463293426E-4</v>
      </c>
      <c r="AL65" s="35">
        <v>2.4000000000000001E-4</v>
      </c>
      <c r="AM65" s="35">
        <v>0.68819036593630001</v>
      </c>
      <c r="AN65" s="35">
        <v>2.8491081149762819E-3</v>
      </c>
      <c r="AO65" s="35">
        <v>4.1399999999999996E-3</v>
      </c>
      <c r="AP65" s="35">
        <v>1.1653489948046081</v>
      </c>
      <c r="AQ65" s="35">
        <v>6.9571334989835098E-3</v>
      </c>
      <c r="AR65" s="35">
        <v>5.9699999999999996E-3</v>
      </c>
    </row>
    <row r="66" spans="3:44" x14ac:dyDescent="0.25">
      <c r="C66" s="15">
        <v>12330</v>
      </c>
      <c r="D66" s="1">
        <v>1.1810000000000001E-10</v>
      </c>
      <c r="E66" s="1">
        <v>1.1809E-10</v>
      </c>
      <c r="F66">
        <v>8.5400000000000007E-3</v>
      </c>
      <c r="G66" s="13">
        <f t="shared" si="6"/>
        <v>1.1671278518183872</v>
      </c>
      <c r="H66" s="13">
        <f t="shared" si="7"/>
        <v>1.1670290264287329</v>
      </c>
      <c r="I66" s="13">
        <f t="shared" si="8"/>
        <v>1.16707843912356</v>
      </c>
      <c r="J66" s="14">
        <f t="shared" si="4"/>
        <v>9.9668498701152037E-3</v>
      </c>
      <c r="K66" s="14">
        <f t="shared" si="5"/>
        <v>8.5400000000000007E-3</v>
      </c>
      <c r="N66" s="6">
        <v>12330</v>
      </c>
      <c r="O66" s="6">
        <v>0.85517562683532866</v>
      </c>
      <c r="P66" s="6">
        <v>1.2571081714479332E-3</v>
      </c>
      <c r="Q66" s="6">
        <v>1.47E-3</v>
      </c>
      <c r="R66" s="23">
        <v>0.9581121526993448</v>
      </c>
      <c r="S66" s="23">
        <v>2.903079822679015E-3</v>
      </c>
      <c r="T66" s="23">
        <v>3.0300000000000001E-3</v>
      </c>
      <c r="U66" s="23">
        <v>0.7638164953693245</v>
      </c>
      <c r="V66" s="23">
        <v>2.9559698370792858E-3</v>
      </c>
      <c r="W66" s="23">
        <v>3.8700000000000002E-3</v>
      </c>
      <c r="X66" s="23">
        <v>0.94189984752654166</v>
      </c>
      <c r="Y66" s="23">
        <v>8.3075566551840969E-3</v>
      </c>
      <c r="Z66" s="23">
        <v>8.8199999999999997E-3</v>
      </c>
      <c r="AA66" s="29">
        <v>1.0264004969505307</v>
      </c>
      <c r="AB66" s="29">
        <v>1.336373447029591E-2</v>
      </c>
      <c r="AC66" s="29">
        <v>1.302E-2</v>
      </c>
      <c r="AD66" s="29">
        <v>0.91385814321210757</v>
      </c>
      <c r="AE66" s="29">
        <v>5.1176056019878024E-3</v>
      </c>
      <c r="AF66" s="29">
        <v>5.5999999999999999E-3</v>
      </c>
      <c r="AG66" s="29">
        <v>1.0190874181161058</v>
      </c>
      <c r="AH66" s="29">
        <v>1.4868485430313985E-2</v>
      </c>
      <c r="AI66" s="29">
        <v>1.4590000000000001E-2</v>
      </c>
      <c r="AJ66" s="35">
        <v>0.61303859837361641</v>
      </c>
      <c r="AK66" s="35">
        <v>3.5924061864693918E-3</v>
      </c>
      <c r="AL66" s="35">
        <v>5.8599999999999998E-3</v>
      </c>
      <c r="AM66" s="35">
        <v>0.68321450756720115</v>
      </c>
      <c r="AN66" s="35">
        <v>5.5340375112943293E-3</v>
      </c>
      <c r="AO66" s="35">
        <v>8.0999999999999996E-3</v>
      </c>
      <c r="AP66" s="35">
        <v>1.16707843912356</v>
      </c>
      <c r="AQ66" s="35">
        <v>9.9668498701152037E-3</v>
      </c>
      <c r="AR66" s="35">
        <v>8.5400000000000007E-3</v>
      </c>
    </row>
    <row r="67" spans="3:44" x14ac:dyDescent="0.25">
      <c r="C67" s="15">
        <v>13220</v>
      </c>
      <c r="D67" s="1">
        <v>1.1805E-10</v>
      </c>
      <c r="E67" s="1">
        <v>1.1805E-10</v>
      </c>
      <c r="F67">
        <v>4.5500000000000002E-3</v>
      </c>
      <c r="G67" s="13">
        <f t="shared" si="6"/>
        <v>1.1666337248701151</v>
      </c>
      <c r="H67" s="13">
        <f t="shared" si="7"/>
        <v>1.1666337248701151</v>
      </c>
      <c r="I67" s="13">
        <f t="shared" si="8"/>
        <v>1.1666337248701151</v>
      </c>
      <c r="J67" s="14">
        <f t="shared" si="4"/>
        <v>5.308183448159024E-3</v>
      </c>
      <c r="K67" s="14">
        <f t="shared" si="5"/>
        <v>4.5500000000000002E-3</v>
      </c>
      <c r="N67" s="6">
        <v>13220</v>
      </c>
      <c r="O67" s="6">
        <v>0.85132637790829002</v>
      </c>
      <c r="P67" s="6">
        <v>4.4524369564603568E-3</v>
      </c>
      <c r="Q67" s="6">
        <v>5.2300000000000003E-3</v>
      </c>
      <c r="R67" s="23">
        <v>0.9450869663428958</v>
      </c>
      <c r="S67" s="23">
        <v>5.0845678789247792E-3</v>
      </c>
      <c r="T67" s="23">
        <v>5.3800000000000002E-3</v>
      </c>
      <c r="U67" s="23">
        <v>0.75935947029591144</v>
      </c>
      <c r="V67" s="23">
        <v>9.2110303746894065E-3</v>
      </c>
      <c r="W67" s="23">
        <v>1.213E-2</v>
      </c>
      <c r="X67" s="23">
        <v>0.93859907951208488</v>
      </c>
      <c r="Y67" s="23">
        <v>5.8380862745651676E-3</v>
      </c>
      <c r="Z67" s="23">
        <v>6.2199999999999998E-3</v>
      </c>
      <c r="AA67" s="29">
        <v>1.0110825615540999</v>
      </c>
      <c r="AB67" s="29">
        <v>7.4719001298847983E-3</v>
      </c>
      <c r="AC67" s="29">
        <v>7.3899999999999999E-3</v>
      </c>
      <c r="AD67" s="29">
        <v>0.92280678224531276</v>
      </c>
      <c r="AE67" s="29">
        <v>4.1618585879263604E-3</v>
      </c>
      <c r="AF67" s="29">
        <v>4.5100000000000001E-3</v>
      </c>
      <c r="AG67" s="29">
        <v>1.0089578156765304</v>
      </c>
      <c r="AH67" s="29">
        <v>9.4640243110458554E-3</v>
      </c>
      <c r="AI67" s="29">
        <v>9.3799999999999994E-3</v>
      </c>
      <c r="AJ67" s="35">
        <v>0.61775256946013102</v>
      </c>
      <c r="AK67" s="35">
        <v>1.5814465778179354E-3</v>
      </c>
      <c r="AL67" s="35">
        <v>2.5600000000000002E-3</v>
      </c>
      <c r="AM67" s="35">
        <v>0.6947227241924554</v>
      </c>
      <c r="AN67" s="35">
        <v>7.2112218771176869E-3</v>
      </c>
      <c r="AO67" s="35">
        <v>1.038E-2</v>
      </c>
      <c r="AP67" s="35">
        <v>1.1666337248701151</v>
      </c>
      <c r="AQ67" s="35">
        <v>5.308183448159024E-3</v>
      </c>
      <c r="AR67" s="35">
        <v>4.5500000000000002E-3</v>
      </c>
    </row>
    <row r="68" spans="3:44" x14ac:dyDescent="0.25">
      <c r="C68" s="15">
        <v>14170</v>
      </c>
      <c r="D68" s="1">
        <v>1.1775000000000001E-10</v>
      </c>
      <c r="E68" s="1">
        <v>1.1774E-10</v>
      </c>
      <c r="F68">
        <v>8.2000000000000007E-3</v>
      </c>
      <c r="G68" s="13">
        <f t="shared" si="6"/>
        <v>1.1636689631804833</v>
      </c>
      <c r="H68" s="13">
        <f t="shared" si="7"/>
        <v>1.163570137790829</v>
      </c>
      <c r="I68" s="13">
        <f t="shared" si="8"/>
        <v>1.1636195504856561</v>
      </c>
      <c r="J68" s="14">
        <f t="shared" si="4"/>
        <v>9.5416803139823803E-3</v>
      </c>
      <c r="K68" s="14">
        <f t="shared" si="5"/>
        <v>8.2000000000000007E-3</v>
      </c>
      <c r="N68" s="6">
        <v>14170</v>
      </c>
      <c r="O68" s="6">
        <v>0.85079272080415635</v>
      </c>
      <c r="P68" s="6">
        <v>5.7428508654280555E-3</v>
      </c>
      <c r="Q68" s="6">
        <v>6.7499999999999999E-3</v>
      </c>
      <c r="R68" s="23">
        <v>0.94366882200135527</v>
      </c>
      <c r="S68" s="23">
        <v>8.5307661508922505E-3</v>
      </c>
      <c r="T68" s="23">
        <v>9.0399999999999994E-3</v>
      </c>
      <c r="U68" s="23">
        <v>0.75782767675626839</v>
      </c>
      <c r="V68" s="23">
        <v>3.0843586443980121E-3</v>
      </c>
      <c r="W68" s="23">
        <v>4.0699999999999998E-3</v>
      </c>
      <c r="X68" s="23">
        <v>0.94038287779534668</v>
      </c>
      <c r="Y68" s="23">
        <v>8.0120621188163529E-3</v>
      </c>
      <c r="Z68" s="23">
        <v>8.5199999999999998E-3</v>
      </c>
      <c r="AA68" s="29">
        <v>1.0207180370454032</v>
      </c>
      <c r="AB68" s="29">
        <v>7.3389626863564492E-3</v>
      </c>
      <c r="AC68" s="29">
        <v>7.1900000000000002E-3</v>
      </c>
      <c r="AD68" s="29">
        <v>0.92318231872599954</v>
      </c>
      <c r="AE68" s="29">
        <v>5.7791213152247568E-3</v>
      </c>
      <c r="AF68" s="29">
        <v>6.2599999999999999E-3</v>
      </c>
      <c r="AG68" s="29">
        <v>1.0134543709058053</v>
      </c>
      <c r="AH68" s="29">
        <v>6.8306824599051281E-3</v>
      </c>
      <c r="AI68" s="29">
        <v>6.7400000000000003E-3</v>
      </c>
      <c r="AJ68" s="35">
        <v>0.61577606166704313</v>
      </c>
      <c r="AK68" s="35">
        <v>2.401526640501468E-3</v>
      </c>
      <c r="AL68" s="35">
        <v>3.8999999999999998E-3</v>
      </c>
      <c r="AM68" s="35">
        <v>0.68865978653715831</v>
      </c>
      <c r="AN68" s="35">
        <v>1.1776082349785407E-3</v>
      </c>
      <c r="AO68" s="35">
        <v>1.7099999999999999E-3</v>
      </c>
      <c r="AP68" s="35">
        <v>1.1636195504856561</v>
      </c>
      <c r="AQ68" s="35">
        <v>9.5416803139823803E-3</v>
      </c>
      <c r="AR68" s="35">
        <v>8.2000000000000007E-3</v>
      </c>
    </row>
    <row r="69" spans="3:44" x14ac:dyDescent="0.25">
      <c r="C69" s="15">
        <v>15200</v>
      </c>
      <c r="D69" s="1">
        <v>1.1819000000000001E-10</v>
      </c>
      <c r="E69" s="1">
        <v>1.1819000000000001E-10</v>
      </c>
      <c r="F69">
        <v>3.1E-4</v>
      </c>
      <c r="G69" s="13">
        <f t="shared" si="6"/>
        <v>1.1680172803252769</v>
      </c>
      <c r="H69" s="13">
        <f t="shared" si="7"/>
        <v>1.1680172803252769</v>
      </c>
      <c r="I69" s="13">
        <f t="shared" si="8"/>
        <v>1.1680172803252769</v>
      </c>
      <c r="J69" s="14">
        <f t="shared" si="4"/>
        <v>3.6208535690083582E-4</v>
      </c>
      <c r="K69" s="14">
        <f t="shared" si="5"/>
        <v>3.1E-4</v>
      </c>
      <c r="N69" s="6">
        <v>15200</v>
      </c>
      <c r="O69" s="6">
        <v>0.85164756042466672</v>
      </c>
      <c r="P69" s="6">
        <v>1.4478008527219334E-3</v>
      </c>
      <c r="Q69" s="6">
        <v>1.6999999999999999E-3</v>
      </c>
      <c r="R69" s="23">
        <v>0.94434083465100516</v>
      </c>
      <c r="S69" s="23">
        <v>1.6337096439462389E-3</v>
      </c>
      <c r="T69" s="23">
        <v>1.73E-3</v>
      </c>
      <c r="U69" s="23">
        <v>0.76684055229274906</v>
      </c>
      <c r="V69" s="23">
        <v>2.1394851408967699E-3</v>
      </c>
      <c r="W69" s="23">
        <v>2.7899999999999999E-3</v>
      </c>
      <c r="X69" s="23">
        <v>0.94086218093517049</v>
      </c>
      <c r="Y69" s="23">
        <v>6.2190990159814771E-3</v>
      </c>
      <c r="Z69" s="23">
        <v>6.6100000000000004E-3</v>
      </c>
      <c r="AA69" s="29">
        <v>1.0162708945109555</v>
      </c>
      <c r="AB69" s="29">
        <v>9.898478512536708E-3</v>
      </c>
      <c r="AC69" s="29">
        <v>9.7400000000000004E-3</v>
      </c>
      <c r="AD69" s="29">
        <v>0.92287596001807093</v>
      </c>
      <c r="AE69" s="29">
        <v>9.2933609173819747E-3</v>
      </c>
      <c r="AF69" s="29">
        <v>1.0070000000000001E-2</v>
      </c>
      <c r="AG69" s="29">
        <v>1.0132567201264964</v>
      </c>
      <c r="AH69" s="29">
        <v>8.2073794330246206E-4</v>
      </c>
      <c r="AI69" s="29">
        <v>8.0999999999999996E-4</v>
      </c>
      <c r="AJ69" s="35">
        <v>0.61450121414050141</v>
      </c>
      <c r="AK69" s="35">
        <v>5.4076106844364123E-4</v>
      </c>
      <c r="AL69" s="35">
        <v>8.8000000000000003E-4</v>
      </c>
      <c r="AM69" s="35">
        <v>0.69355658459453351</v>
      </c>
      <c r="AN69" s="35">
        <v>4.3832776146374517E-3</v>
      </c>
      <c r="AO69" s="35">
        <v>6.3200000000000001E-3</v>
      </c>
      <c r="AP69" s="35">
        <v>1.1680172803252769</v>
      </c>
      <c r="AQ69" s="35">
        <v>3.6208535690083582E-4</v>
      </c>
      <c r="AR69" s="35">
        <v>3.1E-4</v>
      </c>
    </row>
    <row r="70" spans="3:44" x14ac:dyDescent="0.25">
      <c r="C70" s="15">
        <v>16300</v>
      </c>
      <c r="D70" s="1">
        <v>1.1759E-10</v>
      </c>
      <c r="E70" s="1">
        <v>1.1758E-10</v>
      </c>
      <c r="F70">
        <v>5.1900000000000002E-3</v>
      </c>
      <c r="G70" s="13">
        <f t="shared" si="6"/>
        <v>1.1620877569460131</v>
      </c>
      <c r="H70" s="13">
        <f t="shared" si="7"/>
        <v>1.1619889315563587</v>
      </c>
      <c r="I70" s="13">
        <f t="shared" si="8"/>
        <v>1.1620383442511859</v>
      </c>
      <c r="J70" s="14">
        <f t="shared" si="4"/>
        <v>6.0309790066636554E-3</v>
      </c>
      <c r="K70" s="14">
        <f t="shared" si="5"/>
        <v>5.1900000000000002E-3</v>
      </c>
      <c r="N70" s="6">
        <v>16300</v>
      </c>
      <c r="O70" s="6">
        <v>0.85156850011294327</v>
      </c>
      <c r="P70" s="6">
        <v>5.978010870792862E-3</v>
      </c>
      <c r="Q70" s="6">
        <v>7.0200000000000002E-3</v>
      </c>
      <c r="R70" s="23">
        <v>0.9486693867178676</v>
      </c>
      <c r="S70" s="23">
        <v>3.1780424455048564E-3</v>
      </c>
      <c r="T70" s="23">
        <v>3.3500000000000001E-3</v>
      </c>
      <c r="U70" s="23">
        <v>0.76586712220465314</v>
      </c>
      <c r="V70" s="23">
        <v>1.929985147955726E-3</v>
      </c>
      <c r="W70" s="23">
        <v>2.5200000000000001E-3</v>
      </c>
      <c r="X70" s="23">
        <v>0.94208761576688493</v>
      </c>
      <c r="Y70" s="23">
        <v>5.8315223415970176E-3</v>
      </c>
      <c r="Z70" s="23">
        <v>6.1900000000000002E-3</v>
      </c>
      <c r="AA70" s="29">
        <v>1.0176050372712897</v>
      </c>
      <c r="AB70" s="29">
        <v>3.1545756155409981E-3</v>
      </c>
      <c r="AC70" s="29">
        <v>3.0999999999999999E-3</v>
      </c>
      <c r="AD70" s="29">
        <v>0.92095380618929301</v>
      </c>
      <c r="AE70" s="29">
        <v>2.3115940535351257E-3</v>
      </c>
      <c r="AF70" s="29">
        <v>2.5100000000000001E-3</v>
      </c>
      <c r="AG70" s="29">
        <v>1.008068387169641</v>
      </c>
      <c r="AH70" s="29">
        <v>7.4193833295685581E-3</v>
      </c>
      <c r="AI70" s="29">
        <v>7.3600000000000002E-3</v>
      </c>
      <c r="AJ70" s="35">
        <v>0.61250494126948274</v>
      </c>
      <c r="AK70" s="35">
        <v>3.7730304382200134E-3</v>
      </c>
      <c r="AL70" s="35">
        <v>6.1599999999999997E-3</v>
      </c>
      <c r="AM70" s="35">
        <v>0.68707363903320529</v>
      </c>
      <c r="AN70" s="35">
        <v>5.6820989948046076E-3</v>
      </c>
      <c r="AO70" s="35">
        <v>8.2699999999999996E-3</v>
      </c>
      <c r="AP70" s="35">
        <v>1.1620383442511859</v>
      </c>
      <c r="AQ70" s="35">
        <v>6.0309790066636554E-3</v>
      </c>
      <c r="AR70" s="35">
        <v>5.1900000000000002E-3</v>
      </c>
    </row>
    <row r="71" spans="3:44" x14ac:dyDescent="0.25">
      <c r="C71" s="15">
        <v>17480</v>
      </c>
      <c r="D71" s="1">
        <v>1.1863000000000001E-10</v>
      </c>
      <c r="E71" s="1">
        <v>1.1860999999999999E-10</v>
      </c>
      <c r="F71">
        <v>9.4900000000000002E-3</v>
      </c>
      <c r="G71" s="13">
        <f t="shared" si="6"/>
        <v>1.1723655974700702</v>
      </c>
      <c r="H71" s="13">
        <f t="shared" si="7"/>
        <v>1.1721679466907611</v>
      </c>
      <c r="I71" s="13">
        <f t="shared" si="8"/>
        <v>1.1722667720804156</v>
      </c>
      <c r="J71" s="14">
        <f t="shared" si="4"/>
        <v>1.1124811667043145E-2</v>
      </c>
      <c r="K71" s="14">
        <f t="shared" si="5"/>
        <v>9.4900000000000002E-3</v>
      </c>
      <c r="N71" s="6">
        <v>17480</v>
      </c>
      <c r="O71" s="6">
        <v>0.84926092726451319</v>
      </c>
      <c r="P71" s="6">
        <v>3.9575559210526315E-3</v>
      </c>
      <c r="Q71" s="6">
        <v>4.6600000000000001E-3</v>
      </c>
      <c r="R71" s="23">
        <v>0.94503261237858593</v>
      </c>
      <c r="S71" s="23">
        <v>1.540403158177095E-3</v>
      </c>
      <c r="T71" s="23">
        <v>1.6299999999999999E-3</v>
      </c>
      <c r="U71" s="23">
        <v>0.76310495256381294</v>
      </c>
      <c r="V71" s="23">
        <v>1.2209679241021007E-4</v>
      </c>
      <c r="W71" s="23">
        <v>1.6000000000000001E-4</v>
      </c>
      <c r="X71" s="23">
        <v>0.9410005364806866</v>
      </c>
      <c r="Y71" s="23">
        <v>7.4244942328326171E-3</v>
      </c>
      <c r="Z71" s="23">
        <v>7.8899999999999994E-3</v>
      </c>
      <c r="AA71" s="29">
        <v>1.0156779421730291</v>
      </c>
      <c r="AB71" s="29">
        <v>5.0885464902868755E-3</v>
      </c>
      <c r="AC71" s="29">
        <v>5.0099999999999997E-3</v>
      </c>
      <c r="AD71" s="29">
        <v>0.91422873842331143</v>
      </c>
      <c r="AE71" s="29">
        <v>5.1288232225547778E-3</v>
      </c>
      <c r="AF71" s="29">
        <v>5.6100000000000004E-3</v>
      </c>
      <c r="AG71" s="29">
        <v>1.0069813078834424</v>
      </c>
      <c r="AH71" s="29">
        <v>6.8071936412920711E-3</v>
      </c>
      <c r="AI71" s="29">
        <v>6.7600000000000004E-3</v>
      </c>
      <c r="AJ71" s="35">
        <v>0.61561299977411332</v>
      </c>
      <c r="AK71" s="35">
        <v>5.5282047379715381E-3</v>
      </c>
      <c r="AL71" s="35">
        <v>8.9800000000000001E-3</v>
      </c>
      <c r="AM71" s="35">
        <v>0.69023605150214595</v>
      </c>
      <c r="AN71" s="35">
        <v>3.4787896995708157E-3</v>
      </c>
      <c r="AO71" s="35">
        <v>5.0400000000000002E-3</v>
      </c>
      <c r="AP71" s="35">
        <v>1.1722667720804156</v>
      </c>
      <c r="AQ71" s="35">
        <v>1.1124811667043145E-2</v>
      </c>
      <c r="AR71" s="35">
        <v>9.4900000000000002E-3</v>
      </c>
    </row>
    <row r="72" spans="3:44" x14ac:dyDescent="0.25">
      <c r="C72" s="15">
        <v>18740</v>
      </c>
      <c r="D72" s="1">
        <v>1.1860000000000001E-10</v>
      </c>
      <c r="E72" s="1">
        <v>1.1860000000000001E-10</v>
      </c>
      <c r="F72">
        <v>3.2000000000000002E-3</v>
      </c>
      <c r="G72" s="13">
        <f t="shared" si="6"/>
        <v>1.172069121301107</v>
      </c>
      <c r="H72" s="13">
        <f t="shared" si="7"/>
        <v>1.172069121301107</v>
      </c>
      <c r="I72" s="13">
        <f t="shared" si="8"/>
        <v>1.172069121301107</v>
      </c>
      <c r="J72" s="14">
        <f t="shared" si="4"/>
        <v>3.7506211881635425E-3</v>
      </c>
      <c r="K72" s="14">
        <f t="shared" si="5"/>
        <v>3.2000000000000002E-3</v>
      </c>
      <c r="N72" s="6">
        <v>18740</v>
      </c>
      <c r="O72" s="6">
        <v>0.85085201603794891</v>
      </c>
      <c r="P72" s="6">
        <v>3.3863910238310369E-3</v>
      </c>
      <c r="Q72" s="6">
        <v>3.98E-3</v>
      </c>
      <c r="R72" s="23">
        <v>0.94572933137564941</v>
      </c>
      <c r="S72" s="23">
        <v>6.6673917861983277E-3</v>
      </c>
      <c r="T72" s="23">
        <v>7.0499999999999998E-3</v>
      </c>
      <c r="U72" s="23">
        <v>0.76583747458775697</v>
      </c>
      <c r="V72" s="23">
        <v>2.5885306641066186E-3</v>
      </c>
      <c r="W72" s="23">
        <v>3.3800000000000002E-3</v>
      </c>
      <c r="X72" s="23">
        <v>0.94117348091258191</v>
      </c>
      <c r="Y72" s="23">
        <v>6.0893924215044051E-3</v>
      </c>
      <c r="Z72" s="23">
        <v>6.4700000000000001E-3</v>
      </c>
      <c r="AA72" s="29">
        <v>1.016863846848882</v>
      </c>
      <c r="AB72" s="29">
        <v>6.9146741585723974E-3</v>
      </c>
      <c r="AC72" s="29">
        <v>6.7999999999999996E-3</v>
      </c>
      <c r="AD72" s="29">
        <v>0.91829540320758984</v>
      </c>
      <c r="AE72" s="29">
        <v>1.3958090128755366E-3</v>
      </c>
      <c r="AF72" s="29">
        <v>1.5200000000000001E-3</v>
      </c>
      <c r="AG72" s="29">
        <v>1.0056471651231083</v>
      </c>
      <c r="AH72" s="29">
        <v>7.1300384007228377E-3</v>
      </c>
      <c r="AI72" s="29">
        <v>7.0899999999999999E-3</v>
      </c>
      <c r="AJ72" s="35">
        <v>0.61851352496046985</v>
      </c>
      <c r="AK72" s="35">
        <v>2.0410946323695506E-3</v>
      </c>
      <c r="AL72" s="35">
        <v>3.3E-3</v>
      </c>
      <c r="AM72" s="35">
        <v>0.68890190874181156</v>
      </c>
      <c r="AN72" s="35">
        <v>4.6983110176191546E-3</v>
      </c>
      <c r="AO72" s="35">
        <v>6.8199999999999997E-3</v>
      </c>
      <c r="AP72" s="35">
        <v>1.172069121301107</v>
      </c>
      <c r="AQ72" s="35">
        <v>3.7506211881635425E-3</v>
      </c>
      <c r="AR72" s="35">
        <v>3.2000000000000002E-3</v>
      </c>
    </row>
    <row r="73" spans="3:44" x14ac:dyDescent="0.25">
      <c r="C73" s="15">
        <v>20090</v>
      </c>
      <c r="D73" s="1">
        <v>1.1835000000000001E-10</v>
      </c>
      <c r="E73" s="1">
        <v>1.1835000000000001E-10</v>
      </c>
      <c r="F73">
        <v>3.6900000000000001E-3</v>
      </c>
      <c r="G73" s="13">
        <f t="shared" si="6"/>
        <v>1.1695984865597471</v>
      </c>
      <c r="H73" s="13">
        <f t="shared" si="7"/>
        <v>1.1695984865597471</v>
      </c>
      <c r="I73" s="13">
        <f t="shared" si="8"/>
        <v>1.1695984865597471</v>
      </c>
      <c r="J73" s="14">
        <f t="shared" si="4"/>
        <v>4.3158184154054669E-3</v>
      </c>
      <c r="K73" s="14">
        <f t="shared" si="5"/>
        <v>3.6900000000000001E-3</v>
      </c>
      <c r="N73" s="6">
        <v>20090</v>
      </c>
      <c r="O73" s="6">
        <v>0.85025906370002269</v>
      </c>
      <c r="P73" s="6">
        <v>3.9196942836571052E-3</v>
      </c>
      <c r="Q73" s="6">
        <v>4.6100000000000004E-3</v>
      </c>
      <c r="R73" s="23">
        <v>0.94504743618703402</v>
      </c>
      <c r="S73" s="23">
        <v>6.5680796814998861E-3</v>
      </c>
      <c r="T73" s="23">
        <v>6.9499999999999996E-3</v>
      </c>
      <c r="U73" s="23">
        <v>0.76210187485882086</v>
      </c>
      <c r="V73" s="23">
        <v>4.2906335554551613E-3</v>
      </c>
      <c r="W73" s="23">
        <v>5.6299999999999996E-3</v>
      </c>
      <c r="X73" s="23">
        <v>0.94136124915292518</v>
      </c>
      <c r="Y73" s="23">
        <v>6.6742512564942399E-3</v>
      </c>
      <c r="Z73" s="23">
        <v>7.0899999999999999E-3</v>
      </c>
      <c r="AA73" s="29">
        <v>1.0235345606505535</v>
      </c>
      <c r="AB73" s="29">
        <v>5.5270866275129891E-3</v>
      </c>
      <c r="AC73" s="29">
        <v>5.4000000000000003E-3</v>
      </c>
      <c r="AD73" s="29">
        <v>0.92048932685791729</v>
      </c>
      <c r="AE73" s="29">
        <v>4.9522325784955952E-3</v>
      </c>
      <c r="AF73" s="29">
        <v>5.3800000000000002E-3</v>
      </c>
      <c r="AG73" s="29">
        <v>1.0087107522023944</v>
      </c>
      <c r="AH73" s="29">
        <v>5.6487802123334086E-3</v>
      </c>
      <c r="AI73" s="29">
        <v>5.5999999999999999E-3</v>
      </c>
      <c r="AJ73" s="35">
        <v>0.61471368872825827</v>
      </c>
      <c r="AK73" s="35">
        <v>2.649415998418793E-3</v>
      </c>
      <c r="AL73" s="35">
        <v>4.3099999999999996E-3</v>
      </c>
      <c r="AM73" s="35">
        <v>0.69053252767110918</v>
      </c>
      <c r="AN73" s="35">
        <v>1.422497007002485E-3</v>
      </c>
      <c r="AO73" s="35">
        <v>2.0600000000000002E-3</v>
      </c>
      <c r="AP73" s="35">
        <v>1.1695984865597471</v>
      </c>
      <c r="AQ73" s="35">
        <v>4.3158184154054669E-3</v>
      </c>
      <c r="AR73" s="35">
        <v>3.6900000000000001E-3</v>
      </c>
    </row>
    <row r="74" spans="3:44" x14ac:dyDescent="0.25">
      <c r="C74" s="15">
        <v>21540</v>
      </c>
      <c r="D74" s="1">
        <v>1.1837E-10</v>
      </c>
      <c r="E74" s="1">
        <v>1.1837E-10</v>
      </c>
      <c r="F74">
        <v>5.1200000000000004E-3</v>
      </c>
      <c r="G74" s="13">
        <f t="shared" si="6"/>
        <v>1.169796137339056</v>
      </c>
      <c r="H74" s="13">
        <f t="shared" si="7"/>
        <v>1.169796137339056</v>
      </c>
      <c r="I74" s="13">
        <f t="shared" si="8"/>
        <v>1.169796137339056</v>
      </c>
      <c r="J74" s="14">
        <f t="shared" si="4"/>
        <v>5.9893562231759668E-3</v>
      </c>
      <c r="K74" s="14">
        <f t="shared" si="5"/>
        <v>5.1200000000000004E-3</v>
      </c>
      <c r="N74" s="6">
        <v>21540</v>
      </c>
      <c r="O74" s="6">
        <v>0.85052095098260672</v>
      </c>
      <c r="P74" s="6">
        <v>3.2574952422633838E-3</v>
      </c>
      <c r="Q74" s="6">
        <v>3.8300000000000001E-3</v>
      </c>
      <c r="R74" s="23">
        <v>0.95040377230630213</v>
      </c>
      <c r="S74" s="23">
        <v>4.2958250508244858E-3</v>
      </c>
      <c r="T74" s="23">
        <v>4.5199999999999997E-3</v>
      </c>
      <c r="U74" s="23">
        <v>0.76212163993675164</v>
      </c>
      <c r="V74" s="23">
        <v>2.7360166873729385E-3</v>
      </c>
      <c r="W74" s="23">
        <v>3.5899999999999999E-3</v>
      </c>
      <c r="X74" s="23">
        <v>0.94191961260447243</v>
      </c>
      <c r="Y74" s="23">
        <v>6.2826038160718311E-3</v>
      </c>
      <c r="Z74" s="23">
        <v>6.6699999999999997E-3</v>
      </c>
      <c r="AA74" s="29">
        <v>1.0197297831488592</v>
      </c>
      <c r="AB74" s="29">
        <v>8.9124383047210296E-3</v>
      </c>
      <c r="AC74" s="29">
        <v>8.7399999999999995E-3</v>
      </c>
      <c r="AD74" s="29">
        <v>0.91924906821775465</v>
      </c>
      <c r="AE74" s="29">
        <v>8.5214388623785862E-3</v>
      </c>
      <c r="AF74" s="29">
        <v>9.2700000000000005E-3</v>
      </c>
      <c r="AG74" s="29">
        <v>1.0102425457420376</v>
      </c>
      <c r="AH74" s="29">
        <v>5.2835685142308573E-3</v>
      </c>
      <c r="AI74" s="29">
        <v>5.2300000000000003E-3</v>
      </c>
      <c r="AJ74" s="35">
        <v>0.61564264739100971</v>
      </c>
      <c r="AK74" s="35">
        <v>1.8961793539643099E-3</v>
      </c>
      <c r="AL74" s="35">
        <v>3.0799999999999998E-3</v>
      </c>
      <c r="AM74" s="35">
        <v>0.68828919132595434</v>
      </c>
      <c r="AN74" s="35">
        <v>2.4158950615540999E-3</v>
      </c>
      <c r="AO74" s="35">
        <v>3.5100000000000001E-3</v>
      </c>
      <c r="AP74" s="35">
        <v>1.169796137339056</v>
      </c>
      <c r="AQ74" s="35">
        <v>5.9893562231759668E-3</v>
      </c>
      <c r="AR74" s="35">
        <v>5.1200000000000004E-3</v>
      </c>
    </row>
    <row r="75" spans="3:44" x14ac:dyDescent="0.25">
      <c r="C75" s="15">
        <v>23100</v>
      </c>
      <c r="D75" s="1">
        <v>1.1851000000000001E-10</v>
      </c>
      <c r="E75" s="1">
        <v>1.185E-10</v>
      </c>
      <c r="F75">
        <v>7.1199999999999996E-3</v>
      </c>
      <c r="G75" s="13">
        <f t="shared" si="6"/>
        <v>1.1711796927942173</v>
      </c>
      <c r="H75" s="13">
        <f t="shared" si="7"/>
        <v>1.171080867404563</v>
      </c>
      <c r="I75" s="13">
        <f t="shared" si="8"/>
        <v>1.1711302800993901</v>
      </c>
      <c r="J75" s="14">
        <f t="shared" si="4"/>
        <v>8.3384475943076575E-3</v>
      </c>
      <c r="K75" s="14">
        <f t="shared" si="5"/>
        <v>7.1199999999999996E-3</v>
      </c>
      <c r="N75" s="6">
        <v>23100</v>
      </c>
      <c r="O75" s="6">
        <v>0.84952281454709733</v>
      </c>
      <c r="P75" s="6">
        <v>3.7888717528800544E-3</v>
      </c>
      <c r="Q75" s="6">
        <v>4.4600000000000004E-3</v>
      </c>
      <c r="R75" s="23">
        <v>0.94624816467133499</v>
      </c>
      <c r="S75" s="23">
        <v>5.3936145386266092E-4</v>
      </c>
      <c r="T75" s="23">
        <v>5.6999999999999998E-4</v>
      </c>
      <c r="U75" s="23">
        <v>0.76210681612830355</v>
      </c>
      <c r="V75" s="23">
        <v>9.2214924751524727E-4</v>
      </c>
      <c r="W75" s="23">
        <v>1.2099999999999999E-3</v>
      </c>
      <c r="X75" s="23">
        <v>0.94075347300655066</v>
      </c>
      <c r="Y75" s="23">
        <v>8.3162607013779078E-3</v>
      </c>
      <c r="Z75" s="23">
        <v>8.8400000000000006E-3</v>
      </c>
      <c r="AA75" s="29">
        <v>1.0213109893833296</v>
      </c>
      <c r="AB75" s="29">
        <v>6.822357409080642E-3</v>
      </c>
      <c r="AC75" s="29">
        <v>6.6800000000000002E-3</v>
      </c>
      <c r="AD75" s="29">
        <v>0.9219568838942851</v>
      </c>
      <c r="AE75" s="29">
        <v>9.2287884077817944E-3</v>
      </c>
      <c r="AF75" s="29">
        <v>1.001E-2</v>
      </c>
      <c r="AG75" s="29">
        <v>1.0123178789247798</v>
      </c>
      <c r="AH75" s="29">
        <v>8.0580503162412474E-3</v>
      </c>
      <c r="AI75" s="29">
        <v>7.9600000000000001E-3</v>
      </c>
      <c r="AJ75" s="35">
        <v>0.61495581093291163</v>
      </c>
      <c r="AK75" s="35">
        <v>3.9972127710639254E-3</v>
      </c>
      <c r="AL75" s="35">
        <v>6.4999999999999997E-3</v>
      </c>
      <c r="AM75" s="35">
        <v>0.68637692003614181</v>
      </c>
      <c r="AN75" s="35">
        <v>3.610342599390106E-3</v>
      </c>
      <c r="AO75" s="35">
        <v>5.2599999999999999E-3</v>
      </c>
      <c r="AP75" s="35">
        <v>1.1711302800993901</v>
      </c>
      <c r="AQ75" s="35">
        <v>8.3384475943076575E-3</v>
      </c>
      <c r="AR75" s="35">
        <v>7.1199999999999996E-3</v>
      </c>
    </row>
    <row r="76" spans="3:44" x14ac:dyDescent="0.25">
      <c r="C76" s="15">
        <v>24770</v>
      </c>
      <c r="D76" s="1">
        <v>1.1844999999999999E-10</v>
      </c>
      <c r="E76" s="1">
        <v>1.1844999999999999E-10</v>
      </c>
      <c r="F76">
        <v>7.1999999999999998E-3</v>
      </c>
      <c r="G76" s="13">
        <f t="shared" si="6"/>
        <v>1.1705867404562909</v>
      </c>
      <c r="H76" s="13">
        <f t="shared" si="7"/>
        <v>1.1705867404562909</v>
      </c>
      <c r="I76" s="13">
        <f t="shared" si="8"/>
        <v>1.1705867404562909</v>
      </c>
      <c r="J76" s="14">
        <f t="shared" si="4"/>
        <v>8.4282245312852933E-3</v>
      </c>
      <c r="K76" s="14">
        <f t="shared" si="5"/>
        <v>7.1999999999999998E-3</v>
      </c>
      <c r="N76" s="6">
        <v>24770</v>
      </c>
      <c r="O76" s="6">
        <v>0.85109413824260216</v>
      </c>
      <c r="P76" s="6">
        <v>4.5873974051276259E-3</v>
      </c>
      <c r="Q76" s="6">
        <v>5.3899999999999998E-3</v>
      </c>
      <c r="R76" s="23">
        <v>0.94625804721030038</v>
      </c>
      <c r="S76" s="23">
        <v>3.8418076716738199E-3</v>
      </c>
      <c r="T76" s="23">
        <v>4.0600000000000002E-3</v>
      </c>
      <c r="U76" s="23">
        <v>0.76035266546193814</v>
      </c>
      <c r="V76" s="23">
        <v>7.2157467952337932E-3</v>
      </c>
      <c r="W76" s="23">
        <v>9.4900000000000002E-3</v>
      </c>
      <c r="X76" s="23">
        <v>0.94125748249378804</v>
      </c>
      <c r="Y76" s="23">
        <v>7.1064939928281003E-3</v>
      </c>
      <c r="Z76" s="23">
        <v>7.5500000000000003E-3</v>
      </c>
      <c r="AA76" s="29">
        <v>1.0195321323695503</v>
      </c>
      <c r="AB76" s="29">
        <v>7.1061389626157654E-3</v>
      </c>
      <c r="AC76" s="29">
        <v>6.9699999999999996E-3</v>
      </c>
      <c r="AD76" s="29">
        <v>0.92123051728032523</v>
      </c>
      <c r="AE76" s="29">
        <v>4.7996109950304948E-3</v>
      </c>
      <c r="AF76" s="29">
        <v>5.2100000000000002E-3</v>
      </c>
      <c r="AG76" s="29">
        <v>1.0115272758075444</v>
      </c>
      <c r="AH76" s="29">
        <v>7.5257629320081313E-3</v>
      </c>
      <c r="AI76" s="29">
        <v>7.4400000000000004E-3</v>
      </c>
      <c r="AJ76" s="35">
        <v>0.61479274903998193</v>
      </c>
      <c r="AK76" s="35">
        <v>3.1846264400271062E-3</v>
      </c>
      <c r="AL76" s="35">
        <v>5.1799999999999997E-3</v>
      </c>
      <c r="AM76" s="35">
        <v>0.68840284052405676</v>
      </c>
      <c r="AN76" s="35">
        <v>3.7380274240456281E-3</v>
      </c>
      <c r="AO76" s="35">
        <v>5.4299999999999999E-3</v>
      </c>
      <c r="AP76" s="35">
        <v>1.1705867404562909</v>
      </c>
      <c r="AQ76" s="35">
        <v>8.4282245312852933E-3</v>
      </c>
      <c r="AR76" s="35">
        <v>7.1999999999999998E-3</v>
      </c>
    </row>
    <row r="77" spans="3:44" x14ac:dyDescent="0.25">
      <c r="C77" s="15">
        <v>26560</v>
      </c>
      <c r="D77" s="1">
        <v>1.1851000000000001E-10</v>
      </c>
      <c r="E77" s="1">
        <v>1.1851000000000001E-10</v>
      </c>
      <c r="F77">
        <v>5.6699999999999997E-3</v>
      </c>
      <c r="G77" s="13">
        <f t="shared" si="6"/>
        <v>1.1711796927942173</v>
      </c>
      <c r="H77" s="13">
        <f t="shared" si="7"/>
        <v>1.1711796927942173</v>
      </c>
      <c r="I77" s="13">
        <f t="shared" si="8"/>
        <v>1.1711796927942173</v>
      </c>
      <c r="J77" s="14">
        <f t="shared" si="4"/>
        <v>6.6405888581432121E-3</v>
      </c>
      <c r="K77" s="14">
        <f t="shared" si="5"/>
        <v>5.6699999999999997E-3</v>
      </c>
      <c r="N77" s="6">
        <v>26560</v>
      </c>
      <c r="O77" s="6">
        <v>0.85031341766433255</v>
      </c>
      <c r="P77" s="6">
        <v>5.3824839338152252E-3</v>
      </c>
      <c r="Q77" s="6">
        <v>6.3299999999999997E-3</v>
      </c>
      <c r="R77" s="23">
        <v>0.94797266772080413</v>
      </c>
      <c r="S77" s="23">
        <v>3.8108501242376329E-3</v>
      </c>
      <c r="T77" s="23">
        <v>4.0200000000000001E-3</v>
      </c>
      <c r="U77" s="23">
        <v>0.76467133498983508</v>
      </c>
      <c r="V77" s="23">
        <v>1.6899236503275356E-3</v>
      </c>
      <c r="W77" s="23">
        <v>2.2100000000000002E-3</v>
      </c>
      <c r="X77" s="23">
        <v>0.94129701264964982</v>
      </c>
      <c r="Y77" s="23">
        <v>8.4622601437203508E-3</v>
      </c>
      <c r="Z77" s="23">
        <v>8.9899999999999997E-3</v>
      </c>
      <c r="AA77" s="29">
        <v>1.0215580528574655</v>
      </c>
      <c r="AB77" s="29">
        <v>7.4062958832166251E-3</v>
      </c>
      <c r="AC77" s="29">
        <v>7.2500000000000004E-3</v>
      </c>
      <c r="AD77" s="29">
        <v>0.92037567765981476</v>
      </c>
      <c r="AE77" s="29">
        <v>7.0500776908741809E-3</v>
      </c>
      <c r="AF77" s="29">
        <v>7.6600000000000001E-3</v>
      </c>
      <c r="AG77" s="29">
        <v>1.0096990060989381</v>
      </c>
      <c r="AH77" s="29">
        <v>8.2290468997063444E-3</v>
      </c>
      <c r="AI77" s="29">
        <v>8.1499999999999993E-3</v>
      </c>
      <c r="AJ77" s="35">
        <v>0.61492122204653255</v>
      </c>
      <c r="AK77" s="35">
        <v>2.9885171391461482E-3</v>
      </c>
      <c r="AL77" s="35">
        <v>4.8599999999999997E-3</v>
      </c>
      <c r="AM77" s="35">
        <v>0.6875677659814774</v>
      </c>
      <c r="AN77" s="35">
        <v>1.8289302575107298E-3</v>
      </c>
      <c r="AO77" s="35">
        <v>2.66E-3</v>
      </c>
      <c r="AP77" s="35">
        <v>1.1711796927942173</v>
      </c>
      <c r="AQ77" s="35">
        <v>6.6405888581432121E-3</v>
      </c>
      <c r="AR77" s="35">
        <v>5.6699999999999997E-3</v>
      </c>
    </row>
    <row r="78" spans="3:44" x14ac:dyDescent="0.25">
      <c r="C78" s="15">
        <v>28480</v>
      </c>
      <c r="D78" s="1">
        <v>1.1862E-10</v>
      </c>
      <c r="E78" s="1">
        <v>1.1862E-10</v>
      </c>
      <c r="F78">
        <v>4.8799999999999998E-3</v>
      </c>
      <c r="G78" s="13">
        <f t="shared" si="6"/>
        <v>1.1722667720804156</v>
      </c>
      <c r="H78" s="13">
        <f t="shared" si="7"/>
        <v>1.1722667720804156</v>
      </c>
      <c r="I78" s="13">
        <f t="shared" si="8"/>
        <v>1.1722667720804156</v>
      </c>
      <c r="J78" s="14">
        <f t="shared" si="4"/>
        <v>5.7206618477524283E-3</v>
      </c>
      <c r="K78" s="14">
        <f t="shared" si="5"/>
        <v>4.8799999999999998E-3</v>
      </c>
      <c r="N78" s="6">
        <v>28480</v>
      </c>
      <c r="O78" s="6">
        <v>0.85082236842105263</v>
      </c>
      <c r="P78" s="6">
        <v>5.5048207236842103E-3</v>
      </c>
      <c r="Q78" s="6">
        <v>6.4700000000000001E-3</v>
      </c>
      <c r="R78" s="23">
        <v>0.94833338039304271</v>
      </c>
      <c r="S78" s="23">
        <v>5.879666958436865E-3</v>
      </c>
      <c r="T78" s="23">
        <v>6.1999999999999998E-3</v>
      </c>
      <c r="U78" s="23">
        <v>0.76281341766433242</v>
      </c>
      <c r="V78" s="23">
        <v>4.4700866275129876E-3</v>
      </c>
      <c r="W78" s="23">
        <v>5.8599999999999998E-3</v>
      </c>
      <c r="X78" s="23">
        <v>0.94032852383103682</v>
      </c>
      <c r="Y78" s="23">
        <v>8.782668412581884E-3</v>
      </c>
      <c r="Z78" s="23">
        <v>9.3399999999999993E-3</v>
      </c>
      <c r="AA78" s="29">
        <v>1.0196309577592049</v>
      </c>
      <c r="AB78" s="29">
        <v>6.7601532499435282E-3</v>
      </c>
      <c r="AC78" s="29">
        <v>6.6299999999999996E-3</v>
      </c>
      <c r="AD78" s="29">
        <v>0.92169005534221826</v>
      </c>
      <c r="AE78" s="29">
        <v>6.0186360613846855E-3</v>
      </c>
      <c r="AF78" s="29">
        <v>6.5300000000000002E-3</v>
      </c>
      <c r="AG78" s="29">
        <v>1.0093037045403208</v>
      </c>
      <c r="AH78" s="29">
        <v>3.7647028179353965E-3</v>
      </c>
      <c r="AI78" s="29">
        <v>3.7299999999999998E-3</v>
      </c>
      <c r="AJ78" s="35">
        <v>0.61464945222498302</v>
      </c>
      <c r="AK78" s="35">
        <v>1.9361457745086966E-3</v>
      </c>
      <c r="AL78" s="35">
        <v>3.15E-3</v>
      </c>
      <c r="AM78" s="35">
        <v>0.68779506437768245</v>
      </c>
      <c r="AN78" s="35">
        <v>2.6067432939914166E-3</v>
      </c>
      <c r="AO78" s="35">
        <v>3.79E-3</v>
      </c>
      <c r="AP78" s="35">
        <v>1.1722667720804156</v>
      </c>
      <c r="AQ78" s="35">
        <v>5.7206618477524283E-3</v>
      </c>
      <c r="AR78" s="35">
        <v>4.8799999999999998E-3</v>
      </c>
    </row>
    <row r="79" spans="3:44" x14ac:dyDescent="0.25">
      <c r="C79" s="15">
        <v>30540</v>
      </c>
      <c r="D79" s="1">
        <v>1.1812E-10</v>
      </c>
      <c r="E79" s="1">
        <v>1.1810999999999999E-10</v>
      </c>
      <c r="F79">
        <v>6.9699999999999996E-3</v>
      </c>
      <c r="G79" s="13">
        <f t="shared" si="6"/>
        <v>1.1673255025976961</v>
      </c>
      <c r="H79" s="13">
        <f t="shared" si="7"/>
        <v>1.1672266772080413</v>
      </c>
      <c r="I79" s="13">
        <f t="shared" si="8"/>
        <v>1.1672760899028687</v>
      </c>
      <c r="J79" s="14">
        <f t="shared" si="4"/>
        <v>8.1359143466229935E-3</v>
      </c>
      <c r="K79" s="14">
        <f t="shared" si="5"/>
        <v>6.9699999999999996E-3</v>
      </c>
      <c r="N79" s="6">
        <v>30540</v>
      </c>
      <c r="O79" s="6">
        <v>0.85180073977863113</v>
      </c>
      <c r="P79" s="6">
        <v>6.8144059182290492E-3</v>
      </c>
      <c r="Q79" s="6">
        <v>8.0000000000000002E-3</v>
      </c>
      <c r="R79" s="23">
        <v>0.94504743618703402</v>
      </c>
      <c r="S79" s="23">
        <v>4.9520485656200583E-3</v>
      </c>
      <c r="T79" s="23">
        <v>5.2399999999999999E-3</v>
      </c>
      <c r="U79" s="23">
        <v>0.76282824147278072</v>
      </c>
      <c r="V79" s="23">
        <v>4.050617962220465E-3</v>
      </c>
      <c r="W79" s="23">
        <v>5.3099999999999996E-3</v>
      </c>
      <c r="X79" s="23">
        <v>0.9400419302010391</v>
      </c>
      <c r="Y79" s="23">
        <v>8.5919832420374986E-3</v>
      </c>
      <c r="Z79" s="23">
        <v>9.1400000000000006E-3</v>
      </c>
      <c r="AA79" s="29">
        <v>1.0250169414953691</v>
      </c>
      <c r="AB79" s="29">
        <v>1.0793428393946236E-2</v>
      </c>
      <c r="AC79" s="29">
        <v>1.0529999999999999E-2</v>
      </c>
      <c r="AD79" s="29">
        <v>0.91651160492432804</v>
      </c>
      <c r="AE79" s="29">
        <v>1.1080625303535126E-2</v>
      </c>
      <c r="AF79" s="29">
        <v>1.209E-2</v>
      </c>
      <c r="AG79" s="29">
        <v>1.0034730065507116</v>
      </c>
      <c r="AH79" s="29">
        <v>4.8768788118364577E-3</v>
      </c>
      <c r="AI79" s="29">
        <v>4.8599999999999997E-3</v>
      </c>
      <c r="AJ79" s="35">
        <v>0.61511887282584143</v>
      </c>
      <c r="AK79" s="35">
        <v>2.761883738988028E-3</v>
      </c>
      <c r="AL79" s="35">
        <v>4.4900000000000001E-3</v>
      </c>
      <c r="AM79" s="35">
        <v>0.69335893381522473</v>
      </c>
      <c r="AN79" s="35">
        <v>7.3565382877795338E-3</v>
      </c>
      <c r="AO79" s="35">
        <v>1.061E-2</v>
      </c>
      <c r="AP79" s="35">
        <v>1.1672760899028687</v>
      </c>
      <c r="AQ79" s="35">
        <v>8.1359143466229935E-3</v>
      </c>
      <c r="AR79" s="35">
        <v>6.9699999999999996E-3</v>
      </c>
    </row>
    <row r="80" spans="3:44" x14ac:dyDescent="0.25">
      <c r="C80" s="15">
        <v>32750</v>
      </c>
      <c r="D80" s="1">
        <v>1.1868E-10</v>
      </c>
      <c r="E80" s="1">
        <v>1.1868E-10</v>
      </c>
      <c r="F80">
        <v>2.7100000000000002E-3</v>
      </c>
      <c r="G80" s="13">
        <f t="shared" si="6"/>
        <v>1.1728597244183421</v>
      </c>
      <c r="H80" s="13">
        <f t="shared" si="7"/>
        <v>1.1728597244183421</v>
      </c>
      <c r="I80" s="13">
        <f t="shared" si="8"/>
        <v>1.1728597244183421</v>
      </c>
      <c r="J80" s="14">
        <f t="shared" si="4"/>
        <v>3.1784498531737073E-3</v>
      </c>
      <c r="K80" s="14">
        <f t="shared" si="5"/>
        <v>2.7100000000000002E-3</v>
      </c>
      <c r="N80" s="6">
        <v>32750</v>
      </c>
      <c r="O80" s="6">
        <v>0.8485839733453806</v>
      </c>
      <c r="P80" s="6">
        <v>4.6078109752654165E-3</v>
      </c>
      <c r="Q80" s="6">
        <v>5.4299999999999999E-3</v>
      </c>
      <c r="R80" s="23">
        <v>0.9481752597695956</v>
      </c>
      <c r="S80" s="23">
        <v>5.9735041365484524E-3</v>
      </c>
      <c r="T80" s="23">
        <v>6.3E-3</v>
      </c>
      <c r="U80" s="23">
        <v>0.76126680031624128</v>
      </c>
      <c r="V80" s="23">
        <v>3.1973205613282135E-4</v>
      </c>
      <c r="W80" s="23">
        <v>4.2000000000000002E-4</v>
      </c>
      <c r="X80" s="23">
        <v>0.94278433476394841</v>
      </c>
      <c r="Y80" s="23">
        <v>9.041301770386265E-3</v>
      </c>
      <c r="Z80" s="23">
        <v>9.5899999999999996E-3</v>
      </c>
      <c r="AA80" s="29">
        <v>1.0188403546419695</v>
      </c>
      <c r="AB80" s="29">
        <v>9.8216210187485851E-3</v>
      </c>
      <c r="AC80" s="29">
        <v>9.6399999999999993E-3</v>
      </c>
      <c r="AD80" s="29">
        <v>0.92039050146826296</v>
      </c>
      <c r="AE80" s="29">
        <v>5.2002063332956851E-3</v>
      </c>
      <c r="AF80" s="29">
        <v>5.6499999999999996E-3</v>
      </c>
      <c r="AG80" s="29">
        <v>1.014146148633386</v>
      </c>
      <c r="AH80" s="29">
        <v>6.6426572735486791E-3</v>
      </c>
      <c r="AI80" s="29">
        <v>6.5500000000000003E-3</v>
      </c>
      <c r="AJ80" s="35">
        <v>0.61458521572170777</v>
      </c>
      <c r="AK80" s="35">
        <v>4.1238667974926591E-3</v>
      </c>
      <c r="AL80" s="35">
        <v>6.7099999999999998E-3</v>
      </c>
      <c r="AM80" s="35">
        <v>0.69104641969731184</v>
      </c>
      <c r="AN80" s="35">
        <v>2.9576786763044947E-3</v>
      </c>
      <c r="AO80" s="35">
        <v>4.28E-3</v>
      </c>
      <c r="AP80" s="35">
        <v>1.1728597244183421</v>
      </c>
      <c r="AQ80" s="35">
        <v>3.1784498531737073E-3</v>
      </c>
      <c r="AR80" s="35">
        <v>2.7100000000000002E-3</v>
      </c>
    </row>
    <row r="81" spans="3:44" x14ac:dyDescent="0.25">
      <c r="C81" s="15">
        <v>35110</v>
      </c>
      <c r="D81" s="1">
        <v>1.1904999999999999E-10</v>
      </c>
      <c r="E81" s="1">
        <v>1.1904000000000001E-10</v>
      </c>
      <c r="F81">
        <v>6.9499999999999996E-3</v>
      </c>
      <c r="G81" s="13">
        <f t="shared" si="6"/>
        <v>1.1765162638355544</v>
      </c>
      <c r="H81" s="13">
        <f t="shared" si="7"/>
        <v>1.1764174384459003</v>
      </c>
      <c r="I81" s="13">
        <f t="shared" si="8"/>
        <v>1.1764668511407272</v>
      </c>
      <c r="J81" s="14">
        <f t="shared" si="4"/>
        <v>8.1764446154280537E-3</v>
      </c>
      <c r="K81" s="14">
        <f t="shared" si="5"/>
        <v>6.9499999999999996E-3</v>
      </c>
      <c r="N81" s="6">
        <v>35110</v>
      </c>
      <c r="O81" s="6">
        <v>0.85060495256381297</v>
      </c>
      <c r="P81" s="6">
        <v>3.8617464846397108E-3</v>
      </c>
      <c r="Q81" s="6">
        <v>4.5399999999999998E-3</v>
      </c>
      <c r="R81" s="23">
        <v>0.94724630110684438</v>
      </c>
      <c r="S81" s="23">
        <v>4.0542141687372937E-3</v>
      </c>
      <c r="T81" s="23">
        <v>4.28E-3</v>
      </c>
      <c r="U81" s="23">
        <v>0.76383626044725539</v>
      </c>
      <c r="V81" s="23">
        <v>2.3831691325954369E-3</v>
      </c>
      <c r="W81" s="23">
        <v>3.1199999999999999E-3</v>
      </c>
      <c r="X81" s="23">
        <v>0.94150948723740679</v>
      </c>
      <c r="Y81" s="23">
        <v>6.7223777388750842E-3</v>
      </c>
      <c r="Z81" s="23">
        <v>7.1399999999999996E-3</v>
      </c>
      <c r="AA81" s="29">
        <v>1.0223980686695278</v>
      </c>
      <c r="AB81" s="29">
        <v>1.0295548551502146E-2</v>
      </c>
      <c r="AC81" s="29">
        <v>1.0070000000000001E-2</v>
      </c>
      <c r="AD81" s="29">
        <v>0.91913541901965212</v>
      </c>
      <c r="AE81" s="29">
        <v>4.5956770950982611E-3</v>
      </c>
      <c r="AF81" s="29">
        <v>5.0000000000000001E-3</v>
      </c>
      <c r="AG81" s="29">
        <v>1.0097484187937655</v>
      </c>
      <c r="AH81" s="29">
        <v>5.1194244832843908E-3</v>
      </c>
      <c r="AI81" s="29">
        <v>5.0699999999999999E-3</v>
      </c>
      <c r="AJ81" s="35">
        <v>0.61564264739100971</v>
      </c>
      <c r="AK81" s="35">
        <v>2.6226376778857013E-3</v>
      </c>
      <c r="AL81" s="35">
        <v>4.2599999999999999E-3</v>
      </c>
      <c r="AM81" s="35">
        <v>0.68594208832166248</v>
      </c>
      <c r="AN81" s="35">
        <v>0</v>
      </c>
      <c r="AO81" s="35">
        <v>0</v>
      </c>
      <c r="AP81" s="35">
        <v>1.1764668511407272</v>
      </c>
      <c r="AQ81" s="35">
        <v>8.1764446154280537E-3</v>
      </c>
      <c r="AR81" s="35">
        <v>6.9499999999999996E-3</v>
      </c>
    </row>
    <row r="82" spans="3:44" x14ac:dyDescent="0.25">
      <c r="C82" s="15">
        <v>37650</v>
      </c>
      <c r="D82" s="1">
        <v>1.1857999999999999E-10</v>
      </c>
      <c r="E82" s="1">
        <v>1.1857999999999999E-10</v>
      </c>
      <c r="F82">
        <v>4.2100000000000002E-3</v>
      </c>
      <c r="G82" s="13">
        <f t="shared" si="6"/>
        <v>1.1718714705217981</v>
      </c>
      <c r="H82" s="13">
        <f t="shared" si="7"/>
        <v>1.1718714705217981</v>
      </c>
      <c r="I82" s="13">
        <f t="shared" si="8"/>
        <v>1.1718714705217981</v>
      </c>
      <c r="J82" s="14">
        <f t="shared" si="4"/>
        <v>4.9335788908967705E-3</v>
      </c>
      <c r="K82" s="14">
        <f t="shared" si="5"/>
        <v>4.2100000000000002E-3</v>
      </c>
      <c r="N82" s="6">
        <v>37650</v>
      </c>
      <c r="O82" s="6">
        <v>0.84857903207589791</v>
      </c>
      <c r="P82" s="6">
        <v>4.1156083055681053E-3</v>
      </c>
      <c r="Q82" s="6">
        <v>4.8500000000000001E-3</v>
      </c>
      <c r="R82" s="23">
        <v>0.94410859498531741</v>
      </c>
      <c r="S82" s="23">
        <v>1.1083834905127626E-2</v>
      </c>
      <c r="T82" s="23">
        <v>1.174E-2</v>
      </c>
      <c r="U82" s="23">
        <v>0.76469110006776597</v>
      </c>
      <c r="V82" s="23">
        <v>6.0716473345380608E-3</v>
      </c>
      <c r="W82" s="23">
        <v>7.9399999999999991E-3</v>
      </c>
      <c r="X82" s="23">
        <v>0.94218149988705657</v>
      </c>
      <c r="Y82" s="23">
        <v>1.0015389343799412E-2</v>
      </c>
      <c r="Z82" s="23">
        <v>1.0630000000000001E-2</v>
      </c>
      <c r="AA82" s="29">
        <v>1.021953354416083</v>
      </c>
      <c r="AB82" s="29">
        <v>4.5272533600632476E-3</v>
      </c>
      <c r="AC82" s="29">
        <v>4.4299999999999999E-3</v>
      </c>
      <c r="AD82" s="29">
        <v>0.91594830020329798</v>
      </c>
      <c r="AE82" s="29">
        <v>6.2101294753783599E-3</v>
      </c>
      <c r="AF82" s="29">
        <v>6.7799999999999996E-3</v>
      </c>
      <c r="AG82" s="29">
        <v>1.0042141969731193</v>
      </c>
      <c r="AH82" s="29">
        <v>8.0839242856336098E-3</v>
      </c>
      <c r="AI82" s="29">
        <v>8.0499999999999999E-3</v>
      </c>
      <c r="AJ82" s="35">
        <v>0.61312754122430535</v>
      </c>
      <c r="AK82" s="35">
        <v>3.2557072439010613E-3</v>
      </c>
      <c r="AL82" s="35">
        <v>5.3099999999999996E-3</v>
      </c>
      <c r="AM82" s="35">
        <v>0.6878691834199232</v>
      </c>
      <c r="AN82" s="35">
        <v>7.6147118604585496E-3</v>
      </c>
      <c r="AO82" s="35">
        <v>1.107E-2</v>
      </c>
      <c r="AP82" s="35">
        <v>1.1718714705217981</v>
      </c>
      <c r="AQ82" s="35">
        <v>4.9335788908967705E-3</v>
      </c>
      <c r="AR82" s="35">
        <v>4.2100000000000002E-3</v>
      </c>
    </row>
    <row r="83" spans="3:44" x14ac:dyDescent="0.25">
      <c r="C83" s="15">
        <v>40370</v>
      </c>
      <c r="D83" s="1">
        <v>1.1885000000000001E-10</v>
      </c>
      <c r="E83" s="1">
        <v>1.1885000000000001E-10</v>
      </c>
      <c r="F83">
        <v>3.6099999999999999E-3</v>
      </c>
      <c r="G83" s="13">
        <f t="shared" si="6"/>
        <v>1.1745397560424666</v>
      </c>
      <c r="H83" s="13">
        <f t="shared" si="7"/>
        <v>1.1745397560424666</v>
      </c>
      <c r="I83" s="13">
        <f t="shared" si="8"/>
        <v>1.1745397560424666</v>
      </c>
      <c r="J83" s="14">
        <f t="shared" si="4"/>
        <v>4.2400885193133045E-3</v>
      </c>
      <c r="K83" s="14">
        <f t="shared" si="5"/>
        <v>3.6099999999999999E-3</v>
      </c>
      <c r="N83" s="6">
        <v>40370</v>
      </c>
      <c r="O83" s="6">
        <v>0.84795149085159249</v>
      </c>
      <c r="P83" s="6">
        <v>5.1385860345606509E-3</v>
      </c>
      <c r="Q83" s="6">
        <v>6.0600000000000003E-3</v>
      </c>
      <c r="R83" s="23">
        <v>0.94631734244409293</v>
      </c>
      <c r="S83" s="23">
        <v>4.0691645725095997E-3</v>
      </c>
      <c r="T83" s="23">
        <v>4.3E-3</v>
      </c>
      <c r="U83" s="23">
        <v>0.76185481138468492</v>
      </c>
      <c r="V83" s="23">
        <v>4.7158812824712E-3</v>
      </c>
      <c r="W83" s="23">
        <v>6.1900000000000002E-3</v>
      </c>
      <c r="X83" s="23">
        <v>0.9398640444996611</v>
      </c>
      <c r="Y83" s="23">
        <v>1.1372354938445899E-2</v>
      </c>
      <c r="Z83" s="23">
        <v>1.21E-2</v>
      </c>
      <c r="AA83" s="29">
        <v>1.014590862886831</v>
      </c>
      <c r="AB83" s="29">
        <v>7.7210364665687833E-3</v>
      </c>
      <c r="AC83" s="29">
        <v>7.6099999999999996E-3</v>
      </c>
      <c r="AD83" s="29">
        <v>0.91613606844364115</v>
      </c>
      <c r="AE83" s="29">
        <v>3.1423467147616889E-3</v>
      </c>
      <c r="AF83" s="29">
        <v>3.4299999999999999E-3</v>
      </c>
      <c r="AG83" s="29">
        <v>1.0064871809351703</v>
      </c>
      <c r="AH83" s="29">
        <v>6.9850210356900821E-3</v>
      </c>
      <c r="AI83" s="29">
        <v>6.94E-3</v>
      </c>
      <c r="AJ83" s="35">
        <v>0.61494592839394624</v>
      </c>
      <c r="AK83" s="35">
        <v>2.0108731858482043E-3</v>
      </c>
      <c r="AL83" s="35">
        <v>3.2699999999999999E-3</v>
      </c>
      <c r="AM83" s="35">
        <v>0.6862336232211429</v>
      </c>
      <c r="AN83" s="35">
        <v>8.2348034786537141E-4</v>
      </c>
      <c r="AO83" s="35">
        <v>1.1999999999999999E-3</v>
      </c>
      <c r="AP83" s="35">
        <v>1.1745397560424666</v>
      </c>
      <c r="AQ83" s="35">
        <v>4.2400885193133045E-3</v>
      </c>
      <c r="AR83" s="35">
        <v>3.6099999999999999E-3</v>
      </c>
    </row>
    <row r="84" spans="3:44" x14ac:dyDescent="0.25">
      <c r="C84" s="15">
        <v>43290</v>
      </c>
      <c r="D84" s="1">
        <v>1.1849E-10</v>
      </c>
      <c r="E84" s="1">
        <v>1.1849E-10</v>
      </c>
      <c r="F84">
        <v>3.14E-3</v>
      </c>
      <c r="G84" s="13">
        <f t="shared" si="6"/>
        <v>1.1709820420149084</v>
      </c>
      <c r="H84" s="13">
        <f t="shared" si="7"/>
        <v>1.1709820420149084</v>
      </c>
      <c r="I84" s="13">
        <f t="shared" si="8"/>
        <v>1.1709820420149084</v>
      </c>
      <c r="J84" s="14">
        <f t="shared" si="4"/>
        <v>3.6768836119268123E-3</v>
      </c>
      <c r="K84" s="14">
        <f t="shared" si="5"/>
        <v>3.14E-3</v>
      </c>
      <c r="N84" s="6">
        <v>43290</v>
      </c>
      <c r="O84" s="6">
        <v>0.8479317257736616</v>
      </c>
      <c r="P84" s="6">
        <v>5.1215076236729162E-3</v>
      </c>
      <c r="Q84" s="6">
        <v>6.0400000000000002E-3</v>
      </c>
      <c r="R84" s="23">
        <v>0.94712276936977635</v>
      </c>
      <c r="S84" s="23">
        <v>6.4309636040207818E-3</v>
      </c>
      <c r="T84" s="23">
        <v>6.79E-3</v>
      </c>
      <c r="U84" s="23">
        <v>0.76174116218658228</v>
      </c>
      <c r="V84" s="23">
        <v>5.5302408374745876E-3</v>
      </c>
      <c r="W84" s="23">
        <v>7.26E-3</v>
      </c>
      <c r="X84" s="23">
        <v>0.94214196973119479</v>
      </c>
      <c r="Y84" s="23">
        <v>7.7915140896769805E-3</v>
      </c>
      <c r="Z84" s="23">
        <v>8.2699999999999996E-3</v>
      </c>
      <c r="AA84" s="29">
        <v>1.0165673706799185</v>
      </c>
      <c r="AB84" s="29">
        <v>8.2240300288005403E-3</v>
      </c>
      <c r="AC84" s="29">
        <v>8.09E-3</v>
      </c>
      <c r="AD84" s="29">
        <v>0.92143310932911682</v>
      </c>
      <c r="AE84" s="29">
        <v>4.3491642760334313E-3</v>
      </c>
      <c r="AF84" s="29">
        <v>4.7200000000000002E-3</v>
      </c>
      <c r="AG84" s="29">
        <v>1.0064871809351703</v>
      </c>
      <c r="AH84" s="29">
        <v>3.5126402614637444E-3</v>
      </c>
      <c r="AI84" s="29">
        <v>3.49E-3</v>
      </c>
      <c r="AJ84" s="35">
        <v>0.61547464422859721</v>
      </c>
      <c r="AK84" s="35">
        <v>4.2283108058504626E-3</v>
      </c>
      <c r="AL84" s="35">
        <v>6.8700000000000002E-3</v>
      </c>
      <c r="AM84" s="35">
        <v>0.68614468037045406</v>
      </c>
      <c r="AN84" s="35">
        <v>3.3621089338152247E-3</v>
      </c>
      <c r="AO84" s="35">
        <v>4.8999999999999998E-3</v>
      </c>
      <c r="AP84" s="35">
        <v>1.1709820420149084</v>
      </c>
      <c r="AQ84" s="35">
        <v>3.6768836119268123E-3</v>
      </c>
      <c r="AR84" s="35">
        <v>3.14E-3</v>
      </c>
    </row>
    <row r="85" spans="3:44" x14ac:dyDescent="0.25">
      <c r="C85" s="15">
        <v>46420</v>
      </c>
      <c r="D85" s="1">
        <v>1.1825000000000001E-10</v>
      </c>
      <c r="E85" s="1">
        <v>1.1824E-10</v>
      </c>
      <c r="F85">
        <v>4.5799999999999999E-3</v>
      </c>
      <c r="G85" s="13">
        <f t="shared" si="6"/>
        <v>1.1686102326632031</v>
      </c>
      <c r="H85" s="13">
        <f t="shared" si="7"/>
        <v>1.1685114072735485</v>
      </c>
      <c r="I85" s="13">
        <f t="shared" si="8"/>
        <v>1.1685608199683757</v>
      </c>
      <c r="J85" s="14">
        <f t="shared" si="4"/>
        <v>5.3520085554551603E-3</v>
      </c>
      <c r="K85" s="14">
        <f t="shared" si="5"/>
        <v>4.5799999999999999E-3</v>
      </c>
      <c r="N85" s="6">
        <v>46420</v>
      </c>
      <c r="O85" s="6">
        <v>0.84863338604020777</v>
      </c>
      <c r="P85" s="6">
        <v>5.1512046532640613E-3</v>
      </c>
      <c r="Q85" s="6">
        <v>6.0699999999999999E-3</v>
      </c>
      <c r="R85" s="23">
        <v>0.94779478201942613</v>
      </c>
      <c r="S85" s="23">
        <v>6.947335752202393E-3</v>
      </c>
      <c r="T85" s="23">
        <v>7.3299999999999997E-3</v>
      </c>
      <c r="U85" s="23">
        <v>0.76005618929297492</v>
      </c>
      <c r="V85" s="23">
        <v>4.1423062316467132E-3</v>
      </c>
      <c r="W85" s="23">
        <v>5.45E-3</v>
      </c>
      <c r="X85" s="23">
        <v>0.94092641743844596</v>
      </c>
      <c r="Y85" s="23">
        <v>1.1770989482154959E-2</v>
      </c>
      <c r="Z85" s="23">
        <v>1.251E-2</v>
      </c>
      <c r="AA85" s="29">
        <v>1.014887339055794</v>
      </c>
      <c r="AB85" s="29">
        <v>9.5297921137339064E-3</v>
      </c>
      <c r="AC85" s="29">
        <v>9.3900000000000008E-3</v>
      </c>
      <c r="AD85" s="29">
        <v>0.91919471425344468</v>
      </c>
      <c r="AE85" s="29">
        <v>5.2669857126722381E-3</v>
      </c>
      <c r="AF85" s="29">
        <v>5.7299999999999999E-3</v>
      </c>
      <c r="AG85" s="29">
        <v>1.0067342444093064</v>
      </c>
      <c r="AH85" s="29">
        <v>1.0097544471425343E-2</v>
      </c>
      <c r="AI85" s="29">
        <v>1.0030000000000001E-2</v>
      </c>
      <c r="AJ85" s="35">
        <v>0.61453580302688049</v>
      </c>
      <c r="AK85" s="35">
        <v>4.3570588434605822E-3</v>
      </c>
      <c r="AL85" s="35">
        <v>7.0899999999999999E-3</v>
      </c>
      <c r="AM85" s="35">
        <v>0.68905014682629318</v>
      </c>
      <c r="AN85" s="35">
        <v>2.1153839507567201E-3</v>
      </c>
      <c r="AO85" s="35">
        <v>3.0699999999999998E-3</v>
      </c>
      <c r="AP85" s="35">
        <v>1.1685608199683757</v>
      </c>
      <c r="AQ85" s="35">
        <v>5.3520085554551603E-3</v>
      </c>
      <c r="AR85" s="35">
        <v>4.5799999999999999E-3</v>
      </c>
    </row>
    <row r="86" spans="3:44" x14ac:dyDescent="0.25">
      <c r="C86" s="15">
        <v>49770</v>
      </c>
      <c r="D86" s="1">
        <v>1.1860000000000001E-10</v>
      </c>
      <c r="E86" s="1">
        <v>1.1860000000000001E-10</v>
      </c>
      <c r="F86">
        <v>4.2700000000000004E-3</v>
      </c>
      <c r="G86" s="13">
        <f t="shared" si="6"/>
        <v>1.172069121301107</v>
      </c>
      <c r="H86" s="13">
        <f t="shared" si="7"/>
        <v>1.172069121301107</v>
      </c>
      <c r="I86" s="13">
        <f t="shared" si="8"/>
        <v>1.172069121301107</v>
      </c>
      <c r="J86" s="14">
        <f t="shared" si="4"/>
        <v>5.0047351479557273E-3</v>
      </c>
      <c r="K86" s="14">
        <f t="shared" si="5"/>
        <v>4.2700000000000004E-3</v>
      </c>
      <c r="N86" s="6">
        <v>49770</v>
      </c>
      <c r="O86" s="6">
        <v>0.84911763044951427</v>
      </c>
      <c r="P86" s="6">
        <v>6.5976439885927262E-3</v>
      </c>
      <c r="Q86" s="6">
        <v>7.77E-3</v>
      </c>
      <c r="R86" s="23">
        <v>0.94611969166478427</v>
      </c>
      <c r="S86" s="23">
        <v>4.4751461415744294E-3</v>
      </c>
      <c r="T86" s="23">
        <v>4.7299999999999998E-3</v>
      </c>
      <c r="U86" s="23">
        <v>0.76158304156313528</v>
      </c>
      <c r="V86" s="23">
        <v>5.8794210808674049E-3</v>
      </c>
      <c r="W86" s="23">
        <v>7.7200000000000003E-3</v>
      </c>
      <c r="X86" s="23">
        <v>0.94066947142534452</v>
      </c>
      <c r="Y86" s="23">
        <v>1.0008723175965666E-2</v>
      </c>
      <c r="Z86" s="23">
        <v>1.064E-2</v>
      </c>
      <c r="AA86" s="29">
        <v>1.0159744183419923</v>
      </c>
      <c r="AB86" s="29">
        <v>6.7765493703410883E-3</v>
      </c>
      <c r="AC86" s="29">
        <v>6.6699999999999997E-3</v>
      </c>
      <c r="AD86" s="29">
        <v>0.91636830810932912</v>
      </c>
      <c r="AE86" s="29">
        <v>6.3229413259543706E-3</v>
      </c>
      <c r="AF86" s="29">
        <v>6.8999999999999999E-3</v>
      </c>
      <c r="AG86" s="29">
        <v>1.0075742602213689</v>
      </c>
      <c r="AH86" s="29">
        <v>8.9674109159701837E-3</v>
      </c>
      <c r="AI86" s="29">
        <v>8.8999999999999999E-3</v>
      </c>
      <c r="AJ86" s="35">
        <v>0.61437768240343349</v>
      </c>
      <c r="AK86" s="35">
        <v>2.1196030042918454E-3</v>
      </c>
      <c r="AL86" s="35">
        <v>3.4499999999999999E-3</v>
      </c>
      <c r="AM86" s="35">
        <v>0.68568020103907834</v>
      </c>
      <c r="AN86" s="35">
        <v>2.6192983679692791E-3</v>
      </c>
      <c r="AO86" s="35">
        <v>3.82E-3</v>
      </c>
      <c r="AP86" s="35">
        <v>1.172069121301107</v>
      </c>
      <c r="AQ86" s="35">
        <v>5.0047351479557273E-3</v>
      </c>
      <c r="AR86" s="35">
        <v>4.2700000000000004E-3</v>
      </c>
    </row>
    <row r="87" spans="3:44" x14ac:dyDescent="0.25">
      <c r="C87" s="15">
        <v>53370</v>
      </c>
      <c r="D87" s="1">
        <v>1.1846E-10</v>
      </c>
      <c r="E87" s="1">
        <v>1.1844999999999999E-10</v>
      </c>
      <c r="F87">
        <v>8.2100000000000003E-3</v>
      </c>
      <c r="G87" s="13">
        <f t="shared" si="6"/>
        <v>1.1706855658459452</v>
      </c>
      <c r="H87" s="13">
        <f t="shared" si="7"/>
        <v>1.1705867404562909</v>
      </c>
      <c r="I87" s="13">
        <f t="shared" si="8"/>
        <v>1.170636153151118</v>
      </c>
      <c r="J87" s="14">
        <f t="shared" si="4"/>
        <v>9.610922817370679E-3</v>
      </c>
      <c r="K87" s="14">
        <f t="shared" si="5"/>
        <v>8.2100000000000003E-3</v>
      </c>
      <c r="N87" s="6">
        <v>53370</v>
      </c>
      <c r="O87" s="6">
        <v>0.84891009713123999</v>
      </c>
      <c r="P87" s="6">
        <v>6.434738536254799E-3</v>
      </c>
      <c r="Q87" s="6">
        <v>7.5799999999999999E-3</v>
      </c>
      <c r="R87" s="23">
        <v>0.94422224418341993</v>
      </c>
      <c r="S87" s="23">
        <v>3.3803156341766431E-3</v>
      </c>
      <c r="T87" s="23">
        <v>3.5799999999999998E-3</v>
      </c>
      <c r="U87" s="23">
        <v>0.76016983849107755</v>
      </c>
      <c r="V87" s="23">
        <v>5.0551294259656657E-3</v>
      </c>
      <c r="W87" s="23">
        <v>6.6499999999999997E-3</v>
      </c>
      <c r="X87" s="23">
        <v>0.94078806189292963</v>
      </c>
      <c r="Y87" s="23">
        <v>1.0894325756720126E-2</v>
      </c>
      <c r="Z87" s="23">
        <v>1.158E-2</v>
      </c>
      <c r="AA87" s="29">
        <v>1.0185438784730065</v>
      </c>
      <c r="AB87" s="29">
        <v>7.8224169866726902E-3</v>
      </c>
      <c r="AC87" s="29">
        <v>7.6800000000000002E-3</v>
      </c>
      <c r="AD87" s="29">
        <v>0.91742573977863118</v>
      </c>
      <c r="AE87" s="29">
        <v>4.6238257284843013E-3</v>
      </c>
      <c r="AF87" s="29">
        <v>5.0400000000000002E-3</v>
      </c>
      <c r="AG87" s="29">
        <v>1.0070307205782698</v>
      </c>
      <c r="AH87" s="29">
        <v>6.8075276711091039E-3</v>
      </c>
      <c r="AI87" s="29">
        <v>6.7600000000000004E-3</v>
      </c>
      <c r="AJ87" s="35">
        <v>0.61391320307205777</v>
      </c>
      <c r="AK87" s="35">
        <v>3.9106271035690083E-3</v>
      </c>
      <c r="AL87" s="35">
        <v>6.3699999999999998E-3</v>
      </c>
      <c r="AM87" s="35">
        <v>0.6870390501468262</v>
      </c>
      <c r="AN87" s="35">
        <v>4.1909382058956399E-3</v>
      </c>
      <c r="AO87" s="35">
        <v>6.1000000000000004E-3</v>
      </c>
      <c r="AP87" s="35">
        <v>1.170636153151118</v>
      </c>
      <c r="AQ87" s="35">
        <v>9.610922817370679E-3</v>
      </c>
      <c r="AR87" s="35">
        <v>8.2100000000000003E-3</v>
      </c>
    </row>
    <row r="88" spans="3:44" x14ac:dyDescent="0.25">
      <c r="C88" s="15">
        <v>57220</v>
      </c>
      <c r="D88" s="1">
        <v>1.1843E-10</v>
      </c>
      <c r="E88" s="1">
        <v>1.1841999999999999E-10</v>
      </c>
      <c r="F88">
        <v>4.8999999999999998E-3</v>
      </c>
      <c r="G88" s="13">
        <f t="shared" si="6"/>
        <v>1.1703890896769822</v>
      </c>
      <c r="H88" s="13">
        <f t="shared" si="7"/>
        <v>1.1702902642873276</v>
      </c>
      <c r="I88" s="13">
        <f t="shared" si="8"/>
        <v>1.170339676982155</v>
      </c>
      <c r="J88" s="14">
        <f t="shared" si="4"/>
        <v>5.7346644172125592E-3</v>
      </c>
      <c r="K88" s="14">
        <f t="shared" si="5"/>
        <v>4.8999999999999998E-3</v>
      </c>
      <c r="N88" s="6">
        <v>57220</v>
      </c>
      <c r="O88" s="6">
        <v>0.84816890670883205</v>
      </c>
      <c r="P88" s="6">
        <v>6.5224188925909182E-3</v>
      </c>
      <c r="Q88" s="6">
        <v>7.6899999999999998E-3</v>
      </c>
      <c r="R88" s="23">
        <v>0.94479049017393257</v>
      </c>
      <c r="S88" s="23">
        <v>4.9695979783148849E-3</v>
      </c>
      <c r="T88" s="23">
        <v>5.2599999999999999E-3</v>
      </c>
      <c r="U88" s="23">
        <v>0.76141009713124008</v>
      </c>
      <c r="V88" s="23">
        <v>2.6877776428732778E-3</v>
      </c>
      <c r="W88" s="23">
        <v>3.5300000000000002E-3</v>
      </c>
      <c r="X88" s="23">
        <v>0.94069911904224068</v>
      </c>
      <c r="Y88" s="23">
        <v>1.0554644115653941E-2</v>
      </c>
      <c r="Z88" s="23">
        <v>1.1220000000000001E-2</v>
      </c>
      <c r="AA88" s="29">
        <v>1.0185438784730065</v>
      </c>
      <c r="AB88" s="29">
        <v>9.3502328043822015E-3</v>
      </c>
      <c r="AC88" s="29">
        <v>9.1800000000000007E-3</v>
      </c>
      <c r="AD88" s="29">
        <v>0.91615089225208945</v>
      </c>
      <c r="AE88" s="29">
        <v>5.1854140501468261E-3</v>
      </c>
      <c r="AF88" s="29">
        <v>5.6600000000000001E-3</v>
      </c>
      <c r="AG88" s="29">
        <v>1.0082660379489496</v>
      </c>
      <c r="AH88" s="29">
        <v>8.6509226056019888E-3</v>
      </c>
      <c r="AI88" s="29">
        <v>8.5800000000000008E-3</v>
      </c>
      <c r="AJ88" s="35">
        <v>0.61338448723740679</v>
      </c>
      <c r="AK88" s="35">
        <v>2.5455456220352382E-3</v>
      </c>
      <c r="AL88" s="35">
        <v>4.15E-3</v>
      </c>
      <c r="AM88" s="35">
        <v>0.68929721030042912</v>
      </c>
      <c r="AN88" s="35">
        <v>2.4952559012875533E-3</v>
      </c>
      <c r="AO88" s="35">
        <v>3.62E-3</v>
      </c>
      <c r="AP88" s="35">
        <v>1.170339676982155</v>
      </c>
      <c r="AQ88" s="35">
        <v>5.7346644172125592E-3</v>
      </c>
      <c r="AR88" s="35">
        <v>4.8999999999999998E-3</v>
      </c>
    </row>
    <row r="89" spans="3:44" x14ac:dyDescent="0.25">
      <c r="C89" s="15">
        <v>61360</v>
      </c>
      <c r="D89" s="1">
        <v>1.1822000000000001E-10</v>
      </c>
      <c r="E89" s="1">
        <v>1.1821E-10</v>
      </c>
      <c r="F89">
        <v>5.7000000000000002E-3</v>
      </c>
      <c r="G89" s="13">
        <f t="shared" si="6"/>
        <v>1.1683137564942401</v>
      </c>
      <c r="H89" s="13">
        <f t="shared" si="7"/>
        <v>1.1682149311045853</v>
      </c>
      <c r="I89" s="13">
        <f t="shared" si="8"/>
        <v>1.1682643437994127</v>
      </c>
      <c r="J89" s="14">
        <f t="shared" si="4"/>
        <v>6.6591067596566524E-3</v>
      </c>
      <c r="K89" s="14">
        <f t="shared" si="5"/>
        <v>5.7000000000000002E-3</v>
      </c>
      <c r="N89" s="6">
        <v>61360</v>
      </c>
      <c r="O89" s="6">
        <v>0.84774889880280102</v>
      </c>
      <c r="P89" s="6">
        <v>5.4849353752541227E-3</v>
      </c>
      <c r="Q89" s="6">
        <v>6.4700000000000001E-3</v>
      </c>
      <c r="R89" s="23">
        <v>0.94643099164219557</v>
      </c>
      <c r="S89" s="23">
        <v>5.4041209622769362E-3</v>
      </c>
      <c r="T89" s="23">
        <v>5.7099999999999998E-3</v>
      </c>
      <c r="U89" s="23">
        <v>0.76368308109329108</v>
      </c>
      <c r="V89" s="23">
        <v>4.467546024395753E-3</v>
      </c>
      <c r="W89" s="23">
        <v>5.8500000000000002E-3</v>
      </c>
      <c r="X89" s="23">
        <v>0.93914261915518404</v>
      </c>
      <c r="Y89" s="23">
        <v>1.0537180186921166E-2</v>
      </c>
      <c r="Z89" s="23">
        <v>1.1220000000000001E-2</v>
      </c>
      <c r="AA89" s="29">
        <v>1.0167650214592274</v>
      </c>
      <c r="AB89" s="29">
        <v>8.5916644313304702E-3</v>
      </c>
      <c r="AC89" s="29">
        <v>8.4499999999999992E-3</v>
      </c>
      <c r="AD89" s="29">
        <v>0.91799892703862662</v>
      </c>
      <c r="AE89" s="29">
        <v>6.4076325107296139E-3</v>
      </c>
      <c r="AF89" s="29">
        <v>6.9800000000000001E-3</v>
      </c>
      <c r="AG89" s="29">
        <v>1.0087601648972218</v>
      </c>
      <c r="AH89" s="29">
        <v>8.2113077422633855E-3</v>
      </c>
      <c r="AI89" s="29">
        <v>8.1399999999999997E-3</v>
      </c>
      <c r="AJ89" s="35">
        <v>0.61418497289360752</v>
      </c>
      <c r="AK89" s="35">
        <v>3.5806983919697321E-3</v>
      </c>
      <c r="AL89" s="35">
        <v>5.8300000000000001E-3</v>
      </c>
      <c r="AM89" s="35">
        <v>0.68619409306528123</v>
      </c>
      <c r="AN89" s="35">
        <v>2.9300487773887512E-3</v>
      </c>
      <c r="AO89" s="35">
        <v>4.2700000000000004E-3</v>
      </c>
      <c r="AP89" s="35">
        <v>1.1682643437994127</v>
      </c>
      <c r="AQ89" s="35">
        <v>6.6591067596566524E-3</v>
      </c>
      <c r="AR89" s="35">
        <v>5.7000000000000002E-3</v>
      </c>
    </row>
    <row r="90" spans="3:44" x14ac:dyDescent="0.25">
      <c r="C90" s="15">
        <v>65790</v>
      </c>
      <c r="D90" s="1">
        <v>1.1863999999999999E-10</v>
      </c>
      <c r="E90" s="1">
        <v>1.1863000000000001E-10</v>
      </c>
      <c r="F90">
        <v>5.8799999999999998E-3</v>
      </c>
      <c r="G90" s="13">
        <f t="shared" si="6"/>
        <v>1.1724644228597243</v>
      </c>
      <c r="H90" s="13">
        <f t="shared" si="7"/>
        <v>1.1723655974700702</v>
      </c>
      <c r="I90" s="13">
        <f t="shared" si="8"/>
        <v>1.1724150101648974</v>
      </c>
      <c r="J90" s="14">
        <f t="shared" si="4"/>
        <v>6.8938002597695959E-3</v>
      </c>
      <c r="K90" s="14">
        <f t="shared" si="5"/>
        <v>5.8799999999999998E-3</v>
      </c>
      <c r="N90" s="6">
        <v>65790</v>
      </c>
      <c r="O90" s="6">
        <v>0.84749195278969958</v>
      </c>
      <c r="P90" s="6">
        <v>5.1527510729613736E-3</v>
      </c>
      <c r="Q90" s="6">
        <v>6.0800000000000003E-3</v>
      </c>
      <c r="R90" s="23">
        <v>0.94728088999322346</v>
      </c>
      <c r="S90" s="23">
        <v>4.7079860232663202E-3</v>
      </c>
      <c r="T90" s="23">
        <v>4.9699999999999996E-3</v>
      </c>
      <c r="U90" s="23">
        <v>0.76054537497176411</v>
      </c>
      <c r="V90" s="23">
        <v>3.7190668836119267E-3</v>
      </c>
      <c r="W90" s="23">
        <v>4.8900000000000002E-3</v>
      </c>
      <c r="X90" s="23">
        <v>0.93922662073639018</v>
      </c>
      <c r="Y90" s="23">
        <v>1.1787294090241696E-2</v>
      </c>
      <c r="Z90" s="23">
        <v>1.255E-2</v>
      </c>
      <c r="AA90" s="29">
        <v>1.0180003388299075</v>
      </c>
      <c r="AB90" s="29">
        <v>5.7211619042240799E-3</v>
      </c>
      <c r="AC90" s="29">
        <v>5.62E-3</v>
      </c>
      <c r="AD90" s="29">
        <v>0.91619042240795112</v>
      </c>
      <c r="AE90" s="29">
        <v>6.8072948384910771E-3</v>
      </c>
      <c r="AF90" s="29">
        <v>7.43E-3</v>
      </c>
      <c r="AG90" s="29">
        <v>1.0082660379489496</v>
      </c>
      <c r="AH90" s="29">
        <v>8.6307572848430096E-3</v>
      </c>
      <c r="AI90" s="29">
        <v>8.5599999999999999E-3</v>
      </c>
      <c r="AJ90" s="35">
        <v>0.61364143325050824</v>
      </c>
      <c r="AK90" s="35">
        <v>1.6936503557714027E-3</v>
      </c>
      <c r="AL90" s="35">
        <v>2.7599999999999999E-3</v>
      </c>
      <c r="AM90" s="35">
        <v>0.6882101310142309</v>
      </c>
      <c r="AN90" s="35">
        <v>3.2758802236277393E-3</v>
      </c>
      <c r="AO90" s="35">
        <v>4.7600000000000003E-3</v>
      </c>
      <c r="AP90" s="35">
        <v>1.1724150101648974</v>
      </c>
      <c r="AQ90" s="35">
        <v>6.8938002597695959E-3</v>
      </c>
      <c r="AR90" s="35">
        <v>5.8799999999999998E-3</v>
      </c>
    </row>
    <row r="91" spans="3:44" x14ac:dyDescent="0.25">
      <c r="C91" s="15">
        <v>70550</v>
      </c>
      <c r="D91" s="1">
        <v>1.1821E-10</v>
      </c>
      <c r="E91" s="1">
        <v>1.1821E-10</v>
      </c>
      <c r="F91">
        <v>6.0899999999999999E-3</v>
      </c>
      <c r="G91" s="13">
        <f t="shared" si="6"/>
        <v>1.1682149311045853</v>
      </c>
      <c r="H91" s="13">
        <f t="shared" si="7"/>
        <v>1.1682149311045853</v>
      </c>
      <c r="I91" s="13">
        <f t="shared" si="8"/>
        <v>1.1682149311045853</v>
      </c>
      <c r="J91" s="14">
        <f t="shared" si="4"/>
        <v>7.1144289304269246E-3</v>
      </c>
      <c r="K91" s="14">
        <f t="shared" si="5"/>
        <v>6.0899999999999999E-3</v>
      </c>
      <c r="N91" s="6">
        <v>70550</v>
      </c>
      <c r="O91" s="6">
        <v>0.84730912581883899</v>
      </c>
      <c r="P91" s="6">
        <v>6.4395493562231761E-3</v>
      </c>
      <c r="Q91" s="6">
        <v>7.6E-3</v>
      </c>
      <c r="R91" s="23">
        <v>0.94615428055116335</v>
      </c>
      <c r="S91" s="23">
        <v>5.1186946577817935E-3</v>
      </c>
      <c r="T91" s="23">
        <v>5.4099999999999999E-3</v>
      </c>
      <c r="U91" s="23">
        <v>0.76133597808899922</v>
      </c>
      <c r="V91" s="23">
        <v>3.760999731759656E-3</v>
      </c>
      <c r="W91" s="23">
        <v>4.9399999999999999E-3</v>
      </c>
      <c r="X91" s="23">
        <v>0.94031864129207143</v>
      </c>
      <c r="Y91" s="23">
        <v>1.1998465862886831E-2</v>
      </c>
      <c r="Z91" s="23">
        <v>1.2760000000000001E-2</v>
      </c>
      <c r="AA91" s="29">
        <v>1.0186427038626609</v>
      </c>
      <c r="AB91" s="29">
        <v>7.6194474248927032E-3</v>
      </c>
      <c r="AC91" s="29">
        <v>7.4799999999999997E-3</v>
      </c>
      <c r="AD91" s="29">
        <v>0.91698102552518623</v>
      </c>
      <c r="AE91" s="29">
        <v>5.3276597583013317E-3</v>
      </c>
      <c r="AF91" s="29">
        <v>5.8100000000000001E-3</v>
      </c>
      <c r="AG91" s="29">
        <v>1.0085625141179126</v>
      </c>
      <c r="AH91" s="29">
        <v>1.1336242658685339E-2</v>
      </c>
      <c r="AI91" s="29">
        <v>1.124E-2</v>
      </c>
      <c r="AJ91" s="35">
        <v>0.61184281115879824</v>
      </c>
      <c r="AK91" s="35">
        <v>3.4813855954935616E-3</v>
      </c>
      <c r="AL91" s="35">
        <v>5.6899999999999997E-3</v>
      </c>
      <c r="AM91" s="35">
        <v>0.68747388186130554</v>
      </c>
      <c r="AN91" s="35">
        <v>4.2623380675400942E-3</v>
      </c>
      <c r="AO91" s="35">
        <v>6.1999999999999998E-3</v>
      </c>
      <c r="AP91" s="35">
        <v>1.1682149311045853</v>
      </c>
      <c r="AQ91" s="35">
        <v>7.1144289304269246E-3</v>
      </c>
      <c r="AR91" s="35">
        <v>6.0899999999999999E-3</v>
      </c>
    </row>
    <row r="92" spans="3:44" x14ac:dyDescent="0.25">
      <c r="C92" s="15">
        <v>75650</v>
      </c>
      <c r="D92" s="1">
        <v>1.1844999999999999E-10</v>
      </c>
      <c r="E92" s="1">
        <v>1.1844000000000001E-10</v>
      </c>
      <c r="F92">
        <v>6.7999999999999996E-3</v>
      </c>
      <c r="G92" s="13">
        <f t="shared" si="6"/>
        <v>1.1705867404562909</v>
      </c>
      <c r="H92" s="13">
        <f t="shared" si="7"/>
        <v>1.1704879150666365</v>
      </c>
      <c r="I92" s="13">
        <f t="shared" si="8"/>
        <v>1.1705373277614637</v>
      </c>
      <c r="J92" s="14">
        <f t="shared" si="4"/>
        <v>7.9596538287779531E-3</v>
      </c>
      <c r="K92" s="14">
        <f t="shared" si="5"/>
        <v>6.7999999999999996E-3</v>
      </c>
      <c r="N92" s="6">
        <v>75650</v>
      </c>
      <c r="O92" s="6">
        <v>0.84687923537384224</v>
      </c>
      <c r="P92" s="6">
        <v>5.9535610246781107E-3</v>
      </c>
      <c r="Q92" s="6">
        <v>7.0299999999999998E-3</v>
      </c>
      <c r="R92" s="23">
        <v>0.94646558052857466</v>
      </c>
      <c r="S92" s="23">
        <v>3.908902847583013E-3</v>
      </c>
      <c r="T92" s="23">
        <v>4.13E-3</v>
      </c>
      <c r="U92" s="23">
        <v>0.76120256381296592</v>
      </c>
      <c r="V92" s="23">
        <v>2.6642089733453808E-3</v>
      </c>
      <c r="W92" s="23">
        <v>3.5000000000000001E-3</v>
      </c>
      <c r="X92" s="23">
        <v>0.94018522701603791</v>
      </c>
      <c r="Y92" s="23">
        <v>1.2372837587531058E-2</v>
      </c>
      <c r="Z92" s="23">
        <v>1.316E-2</v>
      </c>
      <c r="AA92" s="29">
        <v>1.0184450530833522</v>
      </c>
      <c r="AB92" s="29">
        <v>9.0743454229726683E-3</v>
      </c>
      <c r="AC92" s="29">
        <v>8.9099999999999995E-3</v>
      </c>
      <c r="AD92" s="29">
        <v>0.91790998418793768</v>
      </c>
      <c r="AE92" s="29">
        <v>5.213728710187486E-3</v>
      </c>
      <c r="AF92" s="29">
        <v>5.6800000000000002E-3</v>
      </c>
      <c r="AG92" s="29">
        <v>1.007623672916196</v>
      </c>
      <c r="AH92" s="29">
        <v>8.0609893833295688E-3</v>
      </c>
      <c r="AI92" s="29">
        <v>8.0000000000000002E-3</v>
      </c>
      <c r="AJ92" s="35">
        <v>0.61299906821775474</v>
      </c>
      <c r="AK92" s="35">
        <v>3.5983045304382203E-3</v>
      </c>
      <c r="AL92" s="35">
        <v>5.8700000000000002E-3</v>
      </c>
      <c r="AM92" s="35">
        <v>0.68589761689631801</v>
      </c>
      <c r="AN92" s="35">
        <v>4.1633985345606505E-3</v>
      </c>
      <c r="AO92" s="35">
        <v>6.0699999999999999E-3</v>
      </c>
      <c r="AP92" s="35">
        <v>1.1705373277614637</v>
      </c>
      <c r="AQ92" s="35">
        <v>7.9596538287779531E-3</v>
      </c>
      <c r="AR92" s="35">
        <v>6.7999999999999996E-3</v>
      </c>
    </row>
    <row r="93" spans="3:44" x14ac:dyDescent="0.25">
      <c r="C93" s="15">
        <v>81110</v>
      </c>
      <c r="D93" s="1">
        <v>1.1829000000000001E-10</v>
      </c>
      <c r="E93" s="1">
        <v>1.1829000000000001E-10</v>
      </c>
      <c r="F93">
        <v>6.9800000000000001E-3</v>
      </c>
      <c r="G93" s="13">
        <f t="shared" si="6"/>
        <v>1.1690055342218206</v>
      </c>
      <c r="H93" s="13">
        <f t="shared" si="7"/>
        <v>1.1690055342218206</v>
      </c>
      <c r="I93" s="13">
        <f t="shared" si="8"/>
        <v>1.1690055342218206</v>
      </c>
      <c r="J93" s="14">
        <f t="shared" si="4"/>
        <v>8.1596586288683083E-3</v>
      </c>
      <c r="K93" s="14">
        <f t="shared" si="5"/>
        <v>6.9800000000000001E-3</v>
      </c>
      <c r="N93" s="6">
        <v>81110</v>
      </c>
      <c r="O93" s="6">
        <v>0.84681994014004958</v>
      </c>
      <c r="P93" s="6">
        <v>6.1987219618251628E-3</v>
      </c>
      <c r="Q93" s="6">
        <v>7.3200000000000001E-3</v>
      </c>
      <c r="R93" s="23">
        <v>0.94733524395753332</v>
      </c>
      <c r="S93" s="23">
        <v>4.40510888440253E-3</v>
      </c>
      <c r="T93" s="23">
        <v>4.6499999999999996E-3</v>
      </c>
      <c r="U93" s="23">
        <v>0.76194375423537397</v>
      </c>
      <c r="V93" s="23">
        <v>2.4229811384684891E-3</v>
      </c>
      <c r="W93" s="23">
        <v>3.1800000000000001E-3</v>
      </c>
      <c r="X93" s="23">
        <v>0.93987392703862649</v>
      </c>
      <c r="Y93" s="23">
        <v>1.2622506840128753E-2</v>
      </c>
      <c r="Z93" s="23">
        <v>1.3429999999999999E-2</v>
      </c>
      <c r="AA93" s="29">
        <v>1.0172591484074993</v>
      </c>
      <c r="AB93" s="29">
        <v>8.5754946210752185E-3</v>
      </c>
      <c r="AC93" s="29">
        <v>8.43E-3</v>
      </c>
      <c r="AD93" s="29">
        <v>0.91732691438897662</v>
      </c>
      <c r="AE93" s="29">
        <v>6.0360110966794665E-3</v>
      </c>
      <c r="AF93" s="29">
        <v>6.5799999999999999E-3</v>
      </c>
      <c r="AG93" s="29">
        <v>1.0080189744748136</v>
      </c>
      <c r="AH93" s="29">
        <v>1.0735402078156764E-2</v>
      </c>
      <c r="AI93" s="29">
        <v>1.065E-2</v>
      </c>
      <c r="AJ93" s="35">
        <v>0.61317201264964982</v>
      </c>
      <c r="AK93" s="35">
        <v>3.1333089846397105E-3</v>
      </c>
      <c r="AL93" s="35">
        <v>5.11E-3</v>
      </c>
      <c r="AM93" s="35">
        <v>0.6870588152247572</v>
      </c>
      <c r="AN93" s="35">
        <v>3.4078117235147956E-3</v>
      </c>
      <c r="AO93" s="35">
        <v>4.96E-3</v>
      </c>
      <c r="AP93" s="35">
        <v>1.1690055342218206</v>
      </c>
      <c r="AQ93" s="35">
        <v>8.1596586288683083E-3</v>
      </c>
      <c r="AR93" s="35">
        <v>6.9800000000000001E-3</v>
      </c>
    </row>
    <row r="94" spans="3:44" x14ac:dyDescent="0.25">
      <c r="C94" s="15">
        <v>86970</v>
      </c>
      <c r="D94" s="1">
        <v>1.1853E-10</v>
      </c>
      <c r="E94" s="1">
        <v>1.1853E-10</v>
      </c>
      <c r="F94">
        <v>6.7299999999999999E-3</v>
      </c>
      <c r="G94" s="13">
        <f t="shared" ref="G94:G129" si="9">(D94*$F$18)/($I$18*$F$17)</f>
        <v>1.1713773435735262</v>
      </c>
      <c r="H94" s="13">
        <f t="shared" ref="H94:H129" si="10">(E94*$F$18)/($I$18*$F$17)</f>
        <v>1.1713773435735262</v>
      </c>
      <c r="I94" s="13">
        <f t="shared" ref="I94:I125" si="11">AVERAGE(G94:H94)</f>
        <v>1.1713773435735262</v>
      </c>
      <c r="J94" s="14">
        <f t="shared" si="4"/>
        <v>7.8833695222498314E-3</v>
      </c>
      <c r="K94" s="14">
        <f t="shared" si="5"/>
        <v>6.7299999999999999E-3</v>
      </c>
      <c r="N94" s="6">
        <v>86970</v>
      </c>
      <c r="O94" s="6">
        <v>0.84712629884797819</v>
      </c>
      <c r="P94" s="6">
        <v>5.5825623094081763E-3</v>
      </c>
      <c r="Q94" s="6">
        <v>6.5900000000000004E-3</v>
      </c>
      <c r="R94" s="23">
        <v>0.9468954709735713</v>
      </c>
      <c r="S94" s="23">
        <v>6.6187993421052633E-3</v>
      </c>
      <c r="T94" s="23">
        <v>6.9899999999999997E-3</v>
      </c>
      <c r="U94" s="23">
        <v>0.76084185114072733</v>
      </c>
      <c r="V94" s="23">
        <v>3.9411607889089676E-3</v>
      </c>
      <c r="W94" s="23">
        <v>5.1799999999999997E-3</v>
      </c>
      <c r="X94" s="23">
        <v>0.94007157781793538</v>
      </c>
      <c r="Y94" s="23">
        <v>1.2963587058109328E-2</v>
      </c>
      <c r="Z94" s="23">
        <v>1.379E-2</v>
      </c>
      <c r="AA94" s="29">
        <v>1.0181485769143888</v>
      </c>
      <c r="AB94" s="29">
        <v>9.9778560537610098E-3</v>
      </c>
      <c r="AC94" s="29">
        <v>9.7999999999999997E-3</v>
      </c>
      <c r="AD94" s="29">
        <v>0.91773703975604237</v>
      </c>
      <c r="AE94" s="29">
        <v>7.0023336133386033E-3</v>
      </c>
      <c r="AF94" s="29">
        <v>7.6299999999999996E-3</v>
      </c>
      <c r="AG94" s="29">
        <v>1.0096001807092838</v>
      </c>
      <c r="AH94" s="29">
        <v>1.1115697989609215E-2</v>
      </c>
      <c r="AI94" s="29">
        <v>1.1010000000000001E-2</v>
      </c>
      <c r="AJ94" s="35">
        <v>0.61387861418567891</v>
      </c>
      <c r="AK94" s="35">
        <v>3.2167239383329572E-3</v>
      </c>
      <c r="AL94" s="35">
        <v>5.2399999999999999E-3</v>
      </c>
      <c r="AM94" s="35">
        <v>0.68670798509148412</v>
      </c>
      <c r="AN94" s="35">
        <v>2.5270853851366618E-3</v>
      </c>
      <c r="AO94" s="35">
        <v>3.6800000000000001E-3</v>
      </c>
      <c r="AP94" s="35">
        <v>1.1713773435735262</v>
      </c>
      <c r="AQ94" s="35">
        <v>7.8833695222498314E-3</v>
      </c>
      <c r="AR94" s="35">
        <v>6.7299999999999999E-3</v>
      </c>
    </row>
    <row r="95" spans="3:44" x14ac:dyDescent="0.25">
      <c r="C95" s="15">
        <v>93260</v>
      </c>
      <c r="D95" s="1">
        <v>1.1854000000000001E-10</v>
      </c>
      <c r="E95" s="1">
        <v>1.1853E-10</v>
      </c>
      <c r="F95">
        <v>7.3600000000000002E-3</v>
      </c>
      <c r="G95" s="13">
        <f t="shared" si="9"/>
        <v>1.1714761689631805</v>
      </c>
      <c r="H95" s="13">
        <f t="shared" si="10"/>
        <v>1.1713773435735262</v>
      </c>
      <c r="I95" s="13">
        <f t="shared" si="11"/>
        <v>1.1714267562683534</v>
      </c>
      <c r="J95" s="14">
        <f t="shared" ref="J95:J129" si="12">I95*K95</f>
        <v>8.6217009261350813E-3</v>
      </c>
      <c r="K95" s="14">
        <f t="shared" ref="K95:K129" si="13">F95</f>
        <v>7.3600000000000002E-3</v>
      </c>
      <c r="N95" s="6">
        <v>93260</v>
      </c>
      <c r="O95" s="6">
        <v>0.84720535915970174</v>
      </c>
      <c r="P95" s="6">
        <v>5.8626610853851364E-3</v>
      </c>
      <c r="Q95" s="6">
        <v>6.9199999999999999E-3</v>
      </c>
      <c r="R95" s="23">
        <v>0.9462432234018523</v>
      </c>
      <c r="S95" s="23">
        <v>4.9299271939236503E-3</v>
      </c>
      <c r="T95" s="23">
        <v>5.2100000000000002E-3</v>
      </c>
      <c r="U95" s="23">
        <v>0.76230446690761244</v>
      </c>
      <c r="V95" s="23">
        <v>3.0797100463067543E-3</v>
      </c>
      <c r="W95" s="23">
        <v>4.0400000000000002E-3</v>
      </c>
      <c r="X95" s="23">
        <v>0.93993322227241927</v>
      </c>
      <c r="Y95" s="23">
        <v>1.4127196330754462E-2</v>
      </c>
      <c r="Z95" s="23">
        <v>1.503E-2</v>
      </c>
      <c r="AA95" s="29">
        <v>1.0190380054212786</v>
      </c>
      <c r="AB95" s="29">
        <v>9.2019131889541465E-3</v>
      </c>
      <c r="AC95" s="29">
        <v>9.0299999999999998E-3</v>
      </c>
      <c r="AD95" s="29">
        <v>0.91716879376552973</v>
      </c>
      <c r="AE95" s="29">
        <v>6.5394134995482274E-3</v>
      </c>
      <c r="AF95" s="29">
        <v>7.1300000000000001E-3</v>
      </c>
      <c r="AG95" s="29">
        <v>1.0078707363903321</v>
      </c>
      <c r="AH95" s="29">
        <v>1.1509883809577593E-2</v>
      </c>
      <c r="AI95" s="29">
        <v>1.142E-2</v>
      </c>
      <c r="AJ95" s="35">
        <v>0.61332025073413143</v>
      </c>
      <c r="AK95" s="35">
        <v>3.4468598091258185E-3</v>
      </c>
      <c r="AL95" s="35">
        <v>5.62E-3</v>
      </c>
      <c r="AM95" s="35">
        <v>0.68693034221820648</v>
      </c>
      <c r="AN95" s="35">
        <v>3.0705786297153832E-3</v>
      </c>
      <c r="AO95" s="35">
        <v>4.47E-3</v>
      </c>
      <c r="AP95" s="35">
        <v>1.1714267562683534</v>
      </c>
      <c r="AQ95" s="35">
        <v>8.6217009261350813E-3</v>
      </c>
      <c r="AR95" s="35">
        <v>7.3600000000000002E-3</v>
      </c>
    </row>
    <row r="96" spans="3:44" x14ac:dyDescent="0.25">
      <c r="C96" s="15">
        <v>100000</v>
      </c>
      <c r="D96" s="1">
        <v>1.1868E-10</v>
      </c>
      <c r="E96" s="1">
        <v>1.1868E-10</v>
      </c>
      <c r="F96">
        <v>6.6E-3</v>
      </c>
      <c r="G96" s="13">
        <f t="shared" si="9"/>
        <v>1.1728597244183421</v>
      </c>
      <c r="H96" s="13">
        <f t="shared" si="10"/>
        <v>1.1728597244183421</v>
      </c>
      <c r="I96" s="13">
        <f t="shared" si="11"/>
        <v>1.1728597244183421</v>
      </c>
      <c r="J96" s="14">
        <f t="shared" si="12"/>
        <v>7.7408741811610575E-3</v>
      </c>
      <c r="K96" s="14">
        <f t="shared" si="13"/>
        <v>6.6E-3</v>
      </c>
      <c r="N96" s="6">
        <v>100000</v>
      </c>
      <c r="O96" s="6">
        <v>0.84700276711091016</v>
      </c>
      <c r="P96" s="6">
        <v>6.0137196464874624E-3</v>
      </c>
      <c r="Q96" s="6">
        <v>7.1000000000000004E-3</v>
      </c>
      <c r="R96" s="23">
        <v>0.94749830585046302</v>
      </c>
      <c r="S96" s="23">
        <v>4.8701412920713798E-3</v>
      </c>
      <c r="T96" s="23">
        <v>5.1399999999999996E-3</v>
      </c>
      <c r="U96" s="23">
        <v>0.76246752880054214</v>
      </c>
      <c r="V96" s="23">
        <v>3.0117467387621418E-3</v>
      </c>
      <c r="W96" s="23">
        <v>3.9500000000000004E-3</v>
      </c>
      <c r="X96" s="23">
        <v>0.94000240004517743</v>
      </c>
      <c r="Y96" s="23">
        <v>1.4795637776711093E-2</v>
      </c>
      <c r="Z96" s="23">
        <v>1.5740000000000001E-2</v>
      </c>
      <c r="AA96" s="29">
        <v>1.0172591484074993</v>
      </c>
      <c r="AB96" s="29">
        <v>1.0284489990399817E-2</v>
      </c>
      <c r="AC96" s="29">
        <v>1.0109999999999999E-2</v>
      </c>
      <c r="AD96" s="29">
        <v>0.91746526993449284</v>
      </c>
      <c r="AE96" s="29">
        <v>4.9084391941495364E-3</v>
      </c>
      <c r="AF96" s="29">
        <v>5.3499999999999997E-3</v>
      </c>
      <c r="AG96" s="29">
        <v>1.0075248475265415</v>
      </c>
      <c r="AH96" s="29">
        <v>1.1757814970634739E-2</v>
      </c>
      <c r="AI96" s="29">
        <v>1.167E-2</v>
      </c>
      <c r="AJ96" s="35">
        <v>0.61316213011068443</v>
      </c>
      <c r="AK96" s="35">
        <v>2.8573355263157895E-3</v>
      </c>
      <c r="AL96" s="35">
        <v>4.6600000000000001E-3</v>
      </c>
      <c r="AM96" s="35">
        <v>0.68695998983510276</v>
      </c>
      <c r="AN96" s="35">
        <v>3.7988887437881186E-3</v>
      </c>
      <c r="AO96" s="35">
        <v>5.5300000000000002E-3</v>
      </c>
      <c r="AP96" s="35">
        <v>1.1728597244183421</v>
      </c>
      <c r="AQ96" s="35">
        <v>7.7408741811610575E-3</v>
      </c>
      <c r="AR96" s="35">
        <v>6.6E-3</v>
      </c>
    </row>
    <row r="97" spans="3:44" x14ac:dyDescent="0.25">
      <c r="C97" s="15">
        <v>107200</v>
      </c>
      <c r="D97" s="1">
        <v>1.1802E-10</v>
      </c>
      <c r="E97" s="1">
        <v>1.1800999999999999E-10</v>
      </c>
      <c r="F97">
        <v>8.43E-3</v>
      </c>
      <c r="G97" s="13">
        <f t="shared" si="9"/>
        <v>1.1663372487011521</v>
      </c>
      <c r="H97" s="13">
        <f t="shared" si="10"/>
        <v>1.1662384233114973</v>
      </c>
      <c r="I97" s="13">
        <f t="shared" si="11"/>
        <v>1.1662878360063247</v>
      </c>
      <c r="J97" s="14">
        <f t="shared" si="12"/>
        <v>9.831806457533317E-3</v>
      </c>
      <c r="K97" s="14">
        <f t="shared" si="13"/>
        <v>8.43E-3</v>
      </c>
      <c r="N97" s="6">
        <v>107200</v>
      </c>
      <c r="O97" s="6">
        <v>0.84822326067314202</v>
      </c>
      <c r="P97" s="6">
        <v>8.015709813361192E-3</v>
      </c>
      <c r="Q97" s="6">
        <v>9.4500000000000001E-3</v>
      </c>
      <c r="R97" s="23">
        <v>0.95359089112265638</v>
      </c>
      <c r="S97" s="23">
        <v>6.0171585229839616E-3</v>
      </c>
      <c r="T97" s="23">
        <v>6.3099999999999996E-3</v>
      </c>
      <c r="U97" s="23">
        <v>0.75480361983284383</v>
      </c>
      <c r="V97" s="23">
        <v>3.4117123616444539E-3</v>
      </c>
      <c r="W97" s="23">
        <v>4.5199999999999997E-3</v>
      </c>
      <c r="X97" s="23">
        <v>0.93510066071831943</v>
      </c>
      <c r="Y97" s="23">
        <v>1.0370266327366161E-2</v>
      </c>
      <c r="Z97" s="23">
        <v>1.1089999999999999E-2</v>
      </c>
      <c r="AA97" s="29">
        <v>1.0142449740230406</v>
      </c>
      <c r="AB97" s="29">
        <v>1.299247811723515E-2</v>
      </c>
      <c r="AC97" s="29">
        <v>1.281E-2</v>
      </c>
      <c r="AD97" s="29">
        <v>0.9137988479783149</v>
      </c>
      <c r="AE97" s="29">
        <v>8.9004007793087869E-3</v>
      </c>
      <c r="AF97" s="29">
        <v>9.7400000000000004E-3</v>
      </c>
      <c r="AG97" s="29">
        <v>1.0065365936299977</v>
      </c>
      <c r="AH97" s="29">
        <v>1.2018046927942172E-2</v>
      </c>
      <c r="AI97" s="29">
        <v>1.1939999999999999E-2</v>
      </c>
      <c r="AJ97" s="35">
        <v>0.60717331149762821</v>
      </c>
      <c r="AK97" s="35">
        <v>3.3880270781567654E-3</v>
      </c>
      <c r="AL97" s="35">
        <v>5.5799999999999999E-3</v>
      </c>
      <c r="AM97" s="35">
        <v>0.68299709170996159</v>
      </c>
      <c r="AN97" s="35">
        <v>4.944898943980122E-3</v>
      </c>
      <c r="AO97" s="35">
        <v>7.2399999999999999E-3</v>
      </c>
      <c r="AP97" s="35">
        <v>1.1662878360063247</v>
      </c>
      <c r="AQ97" s="35">
        <v>9.831806457533317E-3</v>
      </c>
      <c r="AR97" s="35">
        <v>8.43E-3</v>
      </c>
    </row>
    <row r="98" spans="3:44" x14ac:dyDescent="0.25">
      <c r="C98" s="15">
        <v>115000</v>
      </c>
      <c r="D98" s="1">
        <v>1.1781999999999999E-10</v>
      </c>
      <c r="E98" s="1">
        <v>1.1781999999999999E-10</v>
      </c>
      <c r="F98">
        <v>1.6299999999999999E-3</v>
      </c>
      <c r="G98" s="13">
        <f t="shared" si="9"/>
        <v>1.1643607409080641</v>
      </c>
      <c r="H98" s="13">
        <f t="shared" si="10"/>
        <v>1.1643607409080641</v>
      </c>
      <c r="I98" s="13">
        <f t="shared" si="11"/>
        <v>1.1643607409080641</v>
      </c>
      <c r="J98" s="14">
        <f t="shared" si="12"/>
        <v>1.8979080076801443E-3</v>
      </c>
      <c r="K98" s="14">
        <f t="shared" si="13"/>
        <v>1.6299999999999999E-3</v>
      </c>
      <c r="N98" s="6">
        <v>115000</v>
      </c>
      <c r="O98" s="6">
        <v>0.84716088773435727</v>
      </c>
      <c r="P98" s="6">
        <v>8.3360631353060748E-3</v>
      </c>
      <c r="Q98" s="6">
        <v>9.8399999999999998E-3</v>
      </c>
      <c r="R98" s="23">
        <v>0.94923269143889777</v>
      </c>
      <c r="S98" s="23">
        <v>1.0004912567765983E-2</v>
      </c>
      <c r="T98" s="23">
        <v>1.0540000000000001E-2</v>
      </c>
      <c r="U98" s="23">
        <v>0.75830203862660939</v>
      </c>
      <c r="V98" s="23">
        <v>1.5825763546137336E-2</v>
      </c>
      <c r="W98" s="23">
        <v>2.087E-2</v>
      </c>
      <c r="X98" s="23">
        <v>0.93764047323243727</v>
      </c>
      <c r="Y98" s="23">
        <v>1.4177123955274451E-2</v>
      </c>
      <c r="Z98" s="23">
        <v>1.512E-2</v>
      </c>
      <c r="AA98" s="29">
        <v>1.0118237519765079</v>
      </c>
      <c r="AB98" s="29">
        <v>1.2809688700022588E-2</v>
      </c>
      <c r="AC98" s="29">
        <v>1.2659999999999999E-2</v>
      </c>
      <c r="AD98" s="29">
        <v>0.91697608425570365</v>
      </c>
      <c r="AE98" s="29">
        <v>6.7397742192794215E-3</v>
      </c>
      <c r="AF98" s="29">
        <v>7.3499999999999998E-3</v>
      </c>
      <c r="AG98" s="29">
        <v>1.0075248475265417</v>
      </c>
      <c r="AH98" s="29">
        <v>1.158653574655523E-3</v>
      </c>
      <c r="AI98" s="29">
        <v>1.15E-3</v>
      </c>
      <c r="AJ98" s="35">
        <v>0.61524734583239216</v>
      </c>
      <c r="AK98" s="35">
        <v>6.5892990738649201E-3</v>
      </c>
      <c r="AL98" s="35">
        <v>1.0710000000000001E-2</v>
      </c>
      <c r="AM98" s="35">
        <v>0.68555172803252762</v>
      </c>
      <c r="AN98" s="35">
        <v>1.17983452394398E-2</v>
      </c>
      <c r="AO98" s="35">
        <v>1.721E-2</v>
      </c>
      <c r="AP98" s="35">
        <v>1.1643607409080641</v>
      </c>
      <c r="AQ98" s="35">
        <v>1.8979080076801443E-3</v>
      </c>
      <c r="AR98" s="35">
        <v>1.6299999999999999E-3</v>
      </c>
    </row>
    <row r="99" spans="3:44" x14ac:dyDescent="0.25">
      <c r="C99" s="15">
        <v>123300</v>
      </c>
      <c r="D99" s="1">
        <v>1.1813999999999999E-10</v>
      </c>
      <c r="E99" s="1">
        <v>1.1813000000000001E-10</v>
      </c>
      <c r="F99">
        <v>9.0900000000000009E-3</v>
      </c>
      <c r="G99" s="13">
        <f t="shared" si="9"/>
        <v>1.1675231533770047</v>
      </c>
      <c r="H99" s="13">
        <f t="shared" si="10"/>
        <v>1.1674243279873504</v>
      </c>
      <c r="I99" s="13">
        <f t="shared" si="11"/>
        <v>1.1674737406821776</v>
      </c>
      <c r="J99" s="14">
        <f t="shared" si="12"/>
        <v>1.0612336302800994E-2</v>
      </c>
      <c r="K99" s="14">
        <f t="shared" si="13"/>
        <v>9.0900000000000009E-3</v>
      </c>
      <c r="N99" s="6">
        <v>123300</v>
      </c>
      <c r="O99" s="6">
        <v>0.8437019990964536</v>
      </c>
      <c r="P99" s="6">
        <v>5.9818471735938556E-3</v>
      </c>
      <c r="Q99" s="6">
        <v>7.0899999999999999E-3</v>
      </c>
      <c r="R99" s="23">
        <v>0.94494366952789699</v>
      </c>
      <c r="S99" s="23">
        <v>1.2917379962446351E-2</v>
      </c>
      <c r="T99" s="23">
        <v>1.367E-2</v>
      </c>
      <c r="U99" s="23">
        <v>0.76826857917325508</v>
      </c>
      <c r="V99" s="23">
        <v>8.020723966568782E-3</v>
      </c>
      <c r="W99" s="23">
        <v>1.044E-2</v>
      </c>
      <c r="X99" s="23">
        <v>0.93685481138468485</v>
      </c>
      <c r="Y99" s="23">
        <v>1.1766896430991642E-2</v>
      </c>
      <c r="Z99" s="23">
        <v>1.256E-2</v>
      </c>
      <c r="AA99" s="29">
        <v>1.012910831262706</v>
      </c>
      <c r="AB99" s="29">
        <v>1.1344601310142307E-2</v>
      </c>
      <c r="AC99" s="29">
        <v>1.12E-2</v>
      </c>
      <c r="AD99" s="29">
        <v>0.91369508131917776</v>
      </c>
      <c r="AE99" s="29">
        <v>1.0361302222159476E-2</v>
      </c>
      <c r="AF99" s="29">
        <v>1.1339999999999999E-2</v>
      </c>
      <c r="AG99" s="29">
        <v>1.010884910774791</v>
      </c>
      <c r="AH99" s="29">
        <v>1.1099516320307206E-2</v>
      </c>
      <c r="AI99" s="29">
        <v>1.098E-2</v>
      </c>
      <c r="AJ99" s="35">
        <v>0.61213928732776146</v>
      </c>
      <c r="AK99" s="35">
        <v>6.1948495877569461E-3</v>
      </c>
      <c r="AL99" s="35">
        <v>1.0120000000000001E-2</v>
      </c>
      <c r="AM99" s="35">
        <v>0.6850823074316692</v>
      </c>
      <c r="AN99" s="35">
        <v>3.692593637056697E-3</v>
      </c>
      <c r="AO99" s="35">
        <v>5.3899999999999998E-3</v>
      </c>
      <c r="AP99" s="35">
        <v>1.1674737406821776</v>
      </c>
      <c r="AQ99" s="35">
        <v>1.0612336302800994E-2</v>
      </c>
      <c r="AR99" s="35">
        <v>9.0900000000000009E-3</v>
      </c>
    </row>
    <row r="100" spans="3:44" x14ac:dyDescent="0.25">
      <c r="C100" s="15">
        <v>132200</v>
      </c>
      <c r="D100" s="1">
        <v>1.1719999999999999E-10</v>
      </c>
      <c r="E100" s="1">
        <v>1.1719000000000001E-10</v>
      </c>
      <c r="F100">
        <v>8.9800000000000001E-3</v>
      </c>
      <c r="G100" s="13">
        <f t="shared" si="9"/>
        <v>1.1582335667494916</v>
      </c>
      <c r="H100" s="13">
        <f t="shared" si="10"/>
        <v>1.1581347413598373</v>
      </c>
      <c r="I100" s="13">
        <f t="shared" si="11"/>
        <v>1.1581841540546645</v>
      </c>
      <c r="J100" s="14">
        <f t="shared" si="12"/>
        <v>1.0400493703410887E-2</v>
      </c>
      <c r="K100" s="14">
        <f t="shared" si="13"/>
        <v>8.9800000000000001E-3</v>
      </c>
      <c r="N100" s="6">
        <v>132200</v>
      </c>
      <c r="O100" s="6">
        <v>0.8431782245312851</v>
      </c>
      <c r="P100" s="6">
        <v>6.0793149988705658E-3</v>
      </c>
      <c r="Q100" s="6">
        <v>7.2100000000000003E-3</v>
      </c>
      <c r="R100" s="23">
        <v>0.94454836796927932</v>
      </c>
      <c r="S100" s="23">
        <v>9.9177578636774314E-4</v>
      </c>
      <c r="T100" s="23">
        <v>1.0499999999999999E-3</v>
      </c>
      <c r="U100" s="23">
        <v>0.76099997176417433</v>
      </c>
      <c r="V100" s="23">
        <v>1.3416429502202393E-2</v>
      </c>
      <c r="W100" s="23">
        <v>1.763E-2</v>
      </c>
      <c r="X100" s="23">
        <v>0.93558490512762593</v>
      </c>
      <c r="Y100" s="23">
        <v>1.0675023767506212E-2</v>
      </c>
      <c r="Z100" s="23">
        <v>1.141E-2</v>
      </c>
      <c r="AA100" s="29">
        <v>1.0115766885023718</v>
      </c>
      <c r="AB100" s="29">
        <v>3.7832968149988703E-3</v>
      </c>
      <c r="AC100" s="29">
        <v>3.7399999999999998E-3</v>
      </c>
      <c r="AD100" s="29">
        <v>0.91271670996159915</v>
      </c>
      <c r="AE100" s="29">
        <v>7.0735545022023935E-3</v>
      </c>
      <c r="AF100" s="29">
        <v>7.7499999999999999E-3</v>
      </c>
      <c r="AG100" s="29">
        <v>1.0039177208041563</v>
      </c>
      <c r="AH100" s="29">
        <v>1.6383937203523831E-2</v>
      </c>
      <c r="AI100" s="29">
        <v>1.6320000000000001E-2</v>
      </c>
      <c r="AJ100" s="35">
        <v>0.61340425231533757</v>
      </c>
      <c r="AK100" s="35">
        <v>7.0173446464874625E-3</v>
      </c>
      <c r="AL100" s="35">
        <v>1.1440000000000001E-2</v>
      </c>
      <c r="AM100" s="35">
        <v>0.68742446916647837</v>
      </c>
      <c r="AN100" s="35">
        <v>5.5062699980234914E-3</v>
      </c>
      <c r="AO100" s="35">
        <v>8.0099999999999998E-3</v>
      </c>
      <c r="AP100" s="35">
        <v>1.1581841540546645</v>
      </c>
      <c r="AQ100" s="35">
        <v>1.0400493703410887E-2</v>
      </c>
      <c r="AR100" s="35">
        <v>8.9800000000000001E-3</v>
      </c>
    </row>
    <row r="101" spans="3:44" x14ac:dyDescent="0.25">
      <c r="C101" s="15">
        <v>141700</v>
      </c>
      <c r="D101" s="1">
        <v>1.1791999999999999E-10</v>
      </c>
      <c r="E101" s="1">
        <v>1.1791000000000001E-10</v>
      </c>
      <c r="F101">
        <v>9.3100000000000006E-3</v>
      </c>
      <c r="G101" s="13">
        <f t="shared" si="9"/>
        <v>1.1653489948046081</v>
      </c>
      <c r="H101" s="13">
        <f t="shared" si="10"/>
        <v>1.1652501694149537</v>
      </c>
      <c r="I101" s="13">
        <f t="shared" si="11"/>
        <v>1.1652995821097809</v>
      </c>
      <c r="J101" s="14">
        <f t="shared" si="12"/>
        <v>1.0848939109442061E-2</v>
      </c>
      <c r="K101" s="14">
        <f t="shared" si="13"/>
        <v>9.3100000000000006E-3</v>
      </c>
      <c r="N101" s="6">
        <v>141700</v>
      </c>
      <c r="O101" s="6">
        <v>0.84238762141405021</v>
      </c>
      <c r="P101" s="6">
        <v>7.4467065733002042E-3</v>
      </c>
      <c r="Q101" s="6">
        <v>8.8400000000000006E-3</v>
      </c>
      <c r="R101" s="23">
        <v>0.94823455500338827</v>
      </c>
      <c r="S101" s="23">
        <v>5.8506072043709055E-3</v>
      </c>
      <c r="T101" s="23">
        <v>6.1700000000000001E-3</v>
      </c>
      <c r="U101" s="23">
        <v>0.76018960356900833</v>
      </c>
      <c r="V101" s="23">
        <v>5.0856684478766652E-3</v>
      </c>
      <c r="W101" s="23">
        <v>6.6899999999999998E-3</v>
      </c>
      <c r="X101" s="23">
        <v>0.93781835893381515</v>
      </c>
      <c r="Y101" s="23">
        <v>1.501447192653038E-2</v>
      </c>
      <c r="Z101" s="23">
        <v>1.601E-2</v>
      </c>
      <c r="AA101" s="29">
        <v>1.0139979105489045</v>
      </c>
      <c r="AB101" s="29">
        <v>1.7582723768918007E-2</v>
      </c>
      <c r="AC101" s="29">
        <v>1.7340000000000001E-2</v>
      </c>
      <c r="AD101" s="29">
        <v>0.91787539530155859</v>
      </c>
      <c r="AE101" s="29">
        <v>4.0753667551389205E-3</v>
      </c>
      <c r="AF101" s="29">
        <v>4.4400000000000004E-3</v>
      </c>
      <c r="AG101" s="29">
        <v>1.0059930539868986</v>
      </c>
      <c r="AH101" s="29">
        <v>1.6226667960808672E-2</v>
      </c>
      <c r="AI101" s="29">
        <v>1.6129999999999999E-2</v>
      </c>
      <c r="AJ101" s="35">
        <v>0.61364143325050824</v>
      </c>
      <c r="AK101" s="35">
        <v>8.6032528941721257E-3</v>
      </c>
      <c r="AL101" s="35">
        <v>1.4019999999999999E-2</v>
      </c>
      <c r="AM101" s="35">
        <v>0.68077352044273765</v>
      </c>
      <c r="AN101" s="35">
        <v>6.3175782697086052E-3</v>
      </c>
      <c r="AO101" s="35">
        <v>9.2800000000000001E-3</v>
      </c>
      <c r="AP101" s="35">
        <v>1.1652995821097809</v>
      </c>
      <c r="AQ101" s="35">
        <v>1.0848939109442061E-2</v>
      </c>
      <c r="AR101" s="35">
        <v>9.3100000000000006E-3</v>
      </c>
    </row>
    <row r="102" spans="3:44" x14ac:dyDescent="0.25">
      <c r="C102" s="15">
        <v>152000</v>
      </c>
      <c r="D102" s="1">
        <v>1.1805E-10</v>
      </c>
      <c r="E102" s="1">
        <v>1.1803999999999999E-10</v>
      </c>
      <c r="F102">
        <v>1.086E-2</v>
      </c>
      <c r="G102" s="13">
        <f t="shared" si="9"/>
        <v>1.1666337248701151</v>
      </c>
      <c r="H102" s="13">
        <f t="shared" si="10"/>
        <v>1.1665348994804607</v>
      </c>
      <c r="I102" s="13">
        <f t="shared" si="11"/>
        <v>1.1665843121752879</v>
      </c>
      <c r="J102" s="14">
        <f t="shared" si="12"/>
        <v>1.2669105630223627E-2</v>
      </c>
      <c r="K102" s="14">
        <f t="shared" si="13"/>
        <v>1.086E-2</v>
      </c>
      <c r="N102" s="6">
        <v>152000</v>
      </c>
      <c r="O102" s="6">
        <v>0.84232832618025744</v>
      </c>
      <c r="P102" s="6">
        <v>8.7180981759656644E-3</v>
      </c>
      <c r="Q102" s="6">
        <v>1.035E-2</v>
      </c>
      <c r="R102" s="23">
        <v>0.9455810932911678</v>
      </c>
      <c r="S102" s="23">
        <v>9.1248575502597701E-3</v>
      </c>
      <c r="T102" s="23">
        <v>9.6500000000000006E-3</v>
      </c>
      <c r="U102" s="23">
        <v>0.76689490625705892</v>
      </c>
      <c r="V102" s="23">
        <v>1.303721340637E-3</v>
      </c>
      <c r="W102" s="23">
        <v>1.6999999999999999E-3</v>
      </c>
      <c r="X102" s="23">
        <v>0.93593079399141632</v>
      </c>
      <c r="Y102" s="23">
        <v>1.1175013680257509E-2</v>
      </c>
      <c r="Z102" s="23">
        <v>1.1939999999999999E-2</v>
      </c>
      <c r="AA102" s="29">
        <v>1.0154802913937204</v>
      </c>
      <c r="AB102" s="29">
        <v>1.1942048226790151E-2</v>
      </c>
      <c r="AC102" s="29">
        <v>1.176E-2</v>
      </c>
      <c r="AD102" s="29">
        <v>0.90894158007680148</v>
      </c>
      <c r="AE102" s="29">
        <v>3.1631166986672691E-3</v>
      </c>
      <c r="AF102" s="29">
        <v>3.48E-3</v>
      </c>
      <c r="AG102" s="29">
        <v>1.0092542918454934</v>
      </c>
      <c r="AH102" s="29">
        <v>1.4442428916309012E-2</v>
      </c>
      <c r="AI102" s="29">
        <v>1.431E-2</v>
      </c>
      <c r="AJ102" s="35">
        <v>0.61139315563587071</v>
      </c>
      <c r="AK102" s="35">
        <v>4.3714610627964756E-3</v>
      </c>
      <c r="AL102" s="35">
        <v>7.1500000000000001E-3</v>
      </c>
      <c r="AM102" s="35">
        <v>0.68168765529704078</v>
      </c>
      <c r="AN102" s="35">
        <v>1.2270377795346734E-3</v>
      </c>
      <c r="AO102" s="35">
        <v>1.8E-3</v>
      </c>
      <c r="AP102" s="35">
        <v>1.1665843121752879</v>
      </c>
      <c r="AQ102" s="35">
        <v>1.2669105630223627E-2</v>
      </c>
      <c r="AR102" s="35">
        <v>1.086E-2</v>
      </c>
    </row>
    <row r="103" spans="3:44" x14ac:dyDescent="0.25">
      <c r="C103" s="15">
        <v>163000</v>
      </c>
      <c r="D103" s="1">
        <v>1.1813999999999999E-10</v>
      </c>
      <c r="E103" s="1">
        <v>1.1812E-10</v>
      </c>
      <c r="F103">
        <v>1.0540000000000001E-2</v>
      </c>
      <c r="G103" s="13">
        <f t="shared" si="9"/>
        <v>1.1675231533770047</v>
      </c>
      <c r="H103" s="13">
        <f t="shared" si="10"/>
        <v>1.1673255025976961</v>
      </c>
      <c r="I103" s="13">
        <f t="shared" si="11"/>
        <v>1.1674243279873504</v>
      </c>
      <c r="J103" s="14">
        <f t="shared" si="12"/>
        <v>1.2304652416986674E-2</v>
      </c>
      <c r="K103" s="14">
        <f t="shared" si="13"/>
        <v>1.0540000000000001E-2</v>
      </c>
      <c r="N103" s="6">
        <v>163000</v>
      </c>
      <c r="O103" s="6">
        <v>0.84481872599954821</v>
      </c>
      <c r="P103" s="6">
        <v>8.5073245708154506E-3</v>
      </c>
      <c r="Q103" s="6">
        <v>1.0070000000000001E-2</v>
      </c>
      <c r="R103" s="23">
        <v>0.94267562683532868</v>
      </c>
      <c r="S103" s="23">
        <v>8.0033160718319396E-3</v>
      </c>
      <c r="T103" s="23">
        <v>8.4899999999999993E-3</v>
      </c>
      <c r="U103" s="23">
        <v>0.75635023718093519</v>
      </c>
      <c r="V103" s="23">
        <v>2.7228608538513665E-3</v>
      </c>
      <c r="W103" s="23">
        <v>3.5999999999999999E-3</v>
      </c>
      <c r="X103" s="23">
        <v>0.93632115428055118</v>
      </c>
      <c r="Y103" s="23">
        <v>1.2481160986559747E-2</v>
      </c>
      <c r="Z103" s="23">
        <v>1.333E-2</v>
      </c>
      <c r="AA103" s="29">
        <v>1.014887339055794</v>
      </c>
      <c r="AB103" s="29">
        <v>1.2249690182403435E-2</v>
      </c>
      <c r="AC103" s="29">
        <v>1.2070000000000001E-2</v>
      </c>
      <c r="AD103" s="29">
        <v>0.91419909080641515</v>
      </c>
      <c r="AE103" s="29">
        <v>6.1068499265868534E-3</v>
      </c>
      <c r="AF103" s="29">
        <v>6.6800000000000002E-3</v>
      </c>
      <c r="AG103" s="29">
        <v>1.0026824034334765</v>
      </c>
      <c r="AH103" s="29">
        <v>1.9682655579399144E-2</v>
      </c>
      <c r="AI103" s="29">
        <v>1.9630000000000002E-2</v>
      </c>
      <c r="AJ103" s="35">
        <v>0.61024183984639713</v>
      </c>
      <c r="AK103" s="35">
        <v>5.864424080923877E-3</v>
      </c>
      <c r="AL103" s="35">
        <v>9.6100000000000005E-3</v>
      </c>
      <c r="AM103" s="35">
        <v>0.68391616783374753</v>
      </c>
      <c r="AN103" s="35">
        <v>4.1308536537158352E-3</v>
      </c>
      <c r="AO103" s="35">
        <v>6.0400000000000002E-3</v>
      </c>
      <c r="AP103" s="35">
        <v>1.1674243279873504</v>
      </c>
      <c r="AQ103" s="35">
        <v>1.2304652416986674E-2</v>
      </c>
      <c r="AR103" s="35">
        <v>1.0540000000000001E-2</v>
      </c>
    </row>
    <row r="104" spans="3:44" x14ac:dyDescent="0.25">
      <c r="C104" s="15">
        <v>174800</v>
      </c>
      <c r="D104" s="1">
        <v>1.1787E-10</v>
      </c>
      <c r="E104" s="1">
        <v>1.1785999999999999E-10</v>
      </c>
      <c r="F104">
        <v>1.023E-2</v>
      </c>
      <c r="G104" s="13">
        <f t="shared" si="9"/>
        <v>1.1648548678563362</v>
      </c>
      <c r="H104" s="13">
        <f t="shared" si="10"/>
        <v>1.1647560424666816</v>
      </c>
      <c r="I104" s="13">
        <f t="shared" si="11"/>
        <v>1.1648054551615088</v>
      </c>
      <c r="J104" s="14">
        <f t="shared" si="12"/>
        <v>1.1915959806302234E-2</v>
      </c>
      <c r="K104" s="14">
        <f t="shared" si="13"/>
        <v>1.023E-2</v>
      </c>
      <c r="N104" s="6">
        <v>174800</v>
      </c>
      <c r="O104" s="6">
        <v>0.84193796589112269</v>
      </c>
      <c r="P104" s="6">
        <v>8.4614765572057823E-3</v>
      </c>
      <c r="Q104" s="6">
        <v>1.005E-2</v>
      </c>
      <c r="R104" s="23">
        <v>0.94548720917099616</v>
      </c>
      <c r="S104" s="23">
        <v>3.9805011506098944E-3</v>
      </c>
      <c r="T104" s="23">
        <v>4.2100000000000002E-3</v>
      </c>
      <c r="U104" s="23">
        <v>0.7604020781567653</v>
      </c>
      <c r="V104" s="23">
        <v>9.2312812288231298E-3</v>
      </c>
      <c r="W104" s="23">
        <v>1.214E-2</v>
      </c>
      <c r="X104" s="23">
        <v>0.9366028066410661</v>
      </c>
      <c r="Y104" s="23">
        <v>1.2915752703580302E-2</v>
      </c>
      <c r="Z104" s="23">
        <v>1.379E-2</v>
      </c>
      <c r="AA104" s="29">
        <v>1.0122190535351252</v>
      </c>
      <c r="AB104" s="29">
        <v>1.2430049977411336E-2</v>
      </c>
      <c r="AC104" s="29">
        <v>1.2279999999999999E-2</v>
      </c>
      <c r="AD104" s="29">
        <v>0.91486122091709965</v>
      </c>
      <c r="AE104" s="29">
        <v>7.9409953975604249E-3</v>
      </c>
      <c r="AF104" s="29">
        <v>8.6800000000000002E-3</v>
      </c>
      <c r="AG104" s="29">
        <v>1.000112943302462</v>
      </c>
      <c r="AH104" s="29">
        <v>1.4621651231081995E-2</v>
      </c>
      <c r="AI104" s="29">
        <v>1.4619999999999999E-2</v>
      </c>
      <c r="AJ104" s="35">
        <v>0.60763779082900382</v>
      </c>
      <c r="AK104" s="35">
        <v>4.5390542974926588E-3</v>
      </c>
      <c r="AL104" s="35">
        <v>7.4700000000000001E-3</v>
      </c>
      <c r="AM104" s="35">
        <v>0.68389640275581653</v>
      </c>
      <c r="AN104" s="35">
        <v>9.1642117969279423E-3</v>
      </c>
      <c r="AO104" s="35">
        <v>1.34E-2</v>
      </c>
      <c r="AP104" s="35">
        <v>1.1648054551615088</v>
      </c>
      <c r="AQ104" s="35">
        <v>1.1915959806302234E-2</v>
      </c>
      <c r="AR104" s="35">
        <v>1.023E-2</v>
      </c>
    </row>
    <row r="105" spans="3:44" x14ac:dyDescent="0.25">
      <c r="C105" s="15">
        <v>187400</v>
      </c>
      <c r="D105" s="1">
        <v>1.1797000000000001E-10</v>
      </c>
      <c r="E105" s="1">
        <v>1.1796E-10</v>
      </c>
      <c r="F105">
        <v>8.6499999999999997E-3</v>
      </c>
      <c r="G105" s="13">
        <f t="shared" si="9"/>
        <v>1.1658431217528802</v>
      </c>
      <c r="H105" s="13">
        <f t="shared" si="10"/>
        <v>1.1657442963632256</v>
      </c>
      <c r="I105" s="13">
        <f t="shared" si="11"/>
        <v>1.165793709058053</v>
      </c>
      <c r="J105" s="14">
        <f t="shared" si="12"/>
        <v>1.0084115583352158E-2</v>
      </c>
      <c r="K105" s="14">
        <f t="shared" si="13"/>
        <v>8.6499999999999997E-3</v>
      </c>
      <c r="N105" s="6">
        <v>187400</v>
      </c>
      <c r="O105" s="6">
        <v>0.84218008809577594</v>
      </c>
      <c r="P105" s="6">
        <v>8.27020846510052E-3</v>
      </c>
      <c r="Q105" s="6">
        <v>9.8200000000000006E-3</v>
      </c>
      <c r="R105" s="23">
        <v>0.9446027219335893</v>
      </c>
      <c r="S105" s="23">
        <v>6.5555428902191095E-3</v>
      </c>
      <c r="T105" s="23">
        <v>6.94E-3</v>
      </c>
      <c r="U105" s="23">
        <v>0.76310001129433025</v>
      </c>
      <c r="V105" s="23">
        <v>7.1884021063925909E-3</v>
      </c>
      <c r="W105" s="23">
        <v>9.4199999999999996E-3</v>
      </c>
      <c r="X105" s="23">
        <v>0.93656327648520432</v>
      </c>
      <c r="Y105" s="23">
        <v>1.3542704977976055E-2</v>
      </c>
      <c r="Z105" s="23">
        <v>1.4460000000000001E-2</v>
      </c>
      <c r="AA105" s="29">
        <v>1.0162214818161284</v>
      </c>
      <c r="AB105" s="29">
        <v>1.2560497515247347E-2</v>
      </c>
      <c r="AC105" s="29">
        <v>1.2359999999999999E-2</v>
      </c>
      <c r="AD105" s="29">
        <v>0.91482169076123787</v>
      </c>
      <c r="AE105" s="29">
        <v>5.7816730856110237E-3</v>
      </c>
      <c r="AF105" s="29">
        <v>6.3200000000000001E-3</v>
      </c>
      <c r="AG105" s="29">
        <v>1.0051530381748361</v>
      </c>
      <c r="AH105" s="29">
        <v>1.9861824034334761E-2</v>
      </c>
      <c r="AI105" s="29">
        <v>1.976E-2</v>
      </c>
      <c r="AJ105" s="35">
        <v>0.61032090015812068</v>
      </c>
      <c r="AK105" s="35">
        <v>3.4055906228823134E-3</v>
      </c>
      <c r="AL105" s="35">
        <v>5.5799999999999999E-3</v>
      </c>
      <c r="AM105" s="35">
        <v>0.68302179805737517</v>
      </c>
      <c r="AN105" s="35">
        <v>4.3713395075672011E-3</v>
      </c>
      <c r="AO105" s="35">
        <v>6.4000000000000003E-3</v>
      </c>
      <c r="AP105" s="35">
        <v>1.165793709058053</v>
      </c>
      <c r="AQ105" s="35">
        <v>1.0084115583352158E-2</v>
      </c>
      <c r="AR105" s="35">
        <v>8.6499999999999997E-3</v>
      </c>
    </row>
    <row r="106" spans="3:44" x14ac:dyDescent="0.25">
      <c r="C106" s="15">
        <v>200900</v>
      </c>
      <c r="D106" s="1">
        <v>1.1813999999999999E-10</v>
      </c>
      <c r="E106" s="1">
        <v>1.1813999999999999E-10</v>
      </c>
      <c r="F106">
        <v>6.6299999999999996E-3</v>
      </c>
      <c r="G106" s="13">
        <f t="shared" si="9"/>
        <v>1.1675231533770047</v>
      </c>
      <c r="H106" s="13">
        <f t="shared" si="10"/>
        <v>1.1675231533770047</v>
      </c>
      <c r="I106" s="13">
        <f t="shared" si="11"/>
        <v>1.1675231533770047</v>
      </c>
      <c r="J106" s="14">
        <f t="shared" si="12"/>
        <v>7.7406785068895407E-3</v>
      </c>
      <c r="K106" s="14">
        <f t="shared" si="13"/>
        <v>6.6299999999999996E-3</v>
      </c>
      <c r="N106" s="6">
        <v>200900</v>
      </c>
      <c r="O106" s="6">
        <v>0.84292621978766658</v>
      </c>
      <c r="P106" s="6">
        <v>5.2514303492771633E-3</v>
      </c>
      <c r="Q106" s="6">
        <v>6.2300000000000003E-3</v>
      </c>
      <c r="R106" s="23">
        <v>0.94338716964084024</v>
      </c>
      <c r="S106" s="23">
        <v>5.4244762254348315E-3</v>
      </c>
      <c r="T106" s="23">
        <v>5.7499999999999999E-3</v>
      </c>
      <c r="U106" s="23">
        <v>0.76084185114072733</v>
      </c>
      <c r="V106" s="23">
        <v>6.2389031793539645E-3</v>
      </c>
      <c r="W106" s="23">
        <v>8.2000000000000007E-3</v>
      </c>
      <c r="X106" s="23">
        <v>0.93791718432346949</v>
      </c>
      <c r="Y106" s="23">
        <v>1.3740486750338827E-2</v>
      </c>
      <c r="Z106" s="23">
        <v>1.465E-2</v>
      </c>
      <c r="AA106" s="29">
        <v>1.0137014343799413</v>
      </c>
      <c r="AB106" s="29">
        <v>1.4668259755477751E-2</v>
      </c>
      <c r="AC106" s="29">
        <v>1.447E-2</v>
      </c>
      <c r="AD106" s="29">
        <v>0.91293412581883882</v>
      </c>
      <c r="AE106" s="29">
        <v>8.070337672238536E-3</v>
      </c>
      <c r="AF106" s="29">
        <v>8.8400000000000006E-3</v>
      </c>
      <c r="AG106" s="29">
        <v>1.0012988479783149</v>
      </c>
      <c r="AH106" s="29">
        <v>1.4228456629771855E-2</v>
      </c>
      <c r="AI106" s="29">
        <v>1.421E-2</v>
      </c>
      <c r="AJ106" s="35">
        <v>0.61051855093742935</v>
      </c>
      <c r="AK106" s="35">
        <v>6.1357114369211653E-3</v>
      </c>
      <c r="AL106" s="35">
        <v>1.005E-2</v>
      </c>
      <c r="AM106" s="35">
        <v>0.68511195504856559</v>
      </c>
      <c r="AN106" s="35">
        <v>8.536494959905128E-3</v>
      </c>
      <c r="AO106" s="35">
        <v>1.2460000000000001E-2</v>
      </c>
      <c r="AP106" s="35">
        <v>1.1675231533770047</v>
      </c>
      <c r="AQ106" s="35">
        <v>7.7406785068895407E-3</v>
      </c>
      <c r="AR106" s="35">
        <v>6.6299999999999996E-3</v>
      </c>
    </row>
    <row r="107" spans="3:44" x14ac:dyDescent="0.25">
      <c r="C107" s="15">
        <v>215400</v>
      </c>
      <c r="D107" s="1">
        <v>1.1799E-10</v>
      </c>
      <c r="E107" s="1">
        <v>1.1797000000000001E-10</v>
      </c>
      <c r="F107">
        <v>1.102E-2</v>
      </c>
      <c r="G107" s="13">
        <f t="shared" si="9"/>
        <v>1.1660407725321889</v>
      </c>
      <c r="H107" s="13">
        <f t="shared" si="10"/>
        <v>1.1658431217528802</v>
      </c>
      <c r="I107" s="13">
        <f t="shared" si="11"/>
        <v>1.1659419471425345</v>
      </c>
      <c r="J107" s="14">
        <f t="shared" si="12"/>
        <v>1.2848680257510731E-2</v>
      </c>
      <c r="K107" s="14">
        <f t="shared" si="13"/>
        <v>1.102E-2</v>
      </c>
      <c r="N107" s="6">
        <v>215400</v>
      </c>
      <c r="O107" s="6">
        <v>0.84252597695956633</v>
      </c>
      <c r="P107" s="6">
        <v>7.5490327535577134E-3</v>
      </c>
      <c r="Q107" s="6">
        <v>8.9599999999999992E-3</v>
      </c>
      <c r="R107" s="23">
        <v>0.94198384910774791</v>
      </c>
      <c r="S107" s="23">
        <v>4.9642548847978318E-3</v>
      </c>
      <c r="T107" s="23">
        <v>5.2700000000000004E-3</v>
      </c>
      <c r="U107" s="23">
        <v>0.7577930878698893</v>
      </c>
      <c r="V107" s="23">
        <v>3.1372633837813413E-3</v>
      </c>
      <c r="W107" s="23">
        <v>4.1399999999999996E-3</v>
      </c>
      <c r="X107" s="23">
        <v>0.93461641630901293</v>
      </c>
      <c r="Y107" s="23">
        <v>1.5290324570815451E-2</v>
      </c>
      <c r="Z107" s="23">
        <v>1.636E-2</v>
      </c>
      <c r="AA107" s="29">
        <v>1.0134049582109781</v>
      </c>
      <c r="AB107" s="29">
        <v>1.5069331728597243E-2</v>
      </c>
      <c r="AC107" s="29">
        <v>1.487E-2</v>
      </c>
      <c r="AD107" s="29">
        <v>0.91424850350124232</v>
      </c>
      <c r="AE107" s="29">
        <v>1.0120730933758752E-2</v>
      </c>
      <c r="AF107" s="29">
        <v>1.107E-2</v>
      </c>
      <c r="AG107" s="29">
        <v>1.0023365145696861</v>
      </c>
      <c r="AH107" s="29">
        <v>2.1600351888976736E-2</v>
      </c>
      <c r="AI107" s="29">
        <v>2.155E-2</v>
      </c>
      <c r="AJ107" s="35">
        <v>0.6104543144341541</v>
      </c>
      <c r="AK107" s="35">
        <v>5.3170570787214825E-3</v>
      </c>
      <c r="AL107" s="35">
        <v>8.7100000000000007E-3</v>
      </c>
      <c r="AM107" s="35">
        <v>0.68393099164219562</v>
      </c>
      <c r="AN107" s="35">
        <v>4.1856576688502371E-3</v>
      </c>
      <c r="AO107" s="35">
        <v>6.1199999999999996E-3</v>
      </c>
      <c r="AP107" s="35">
        <v>1.1659419471425345</v>
      </c>
      <c r="AQ107" s="35">
        <v>1.2848680257510731E-2</v>
      </c>
      <c r="AR107" s="35">
        <v>1.102E-2</v>
      </c>
    </row>
    <row r="108" spans="3:44" x14ac:dyDescent="0.25">
      <c r="C108" s="15">
        <v>231000</v>
      </c>
      <c r="D108" s="1">
        <v>1.1799E-10</v>
      </c>
      <c r="E108" s="1">
        <v>1.1797000000000001E-10</v>
      </c>
      <c r="F108">
        <v>9.8399999999999998E-3</v>
      </c>
      <c r="G108" s="13">
        <f t="shared" si="9"/>
        <v>1.1660407725321889</v>
      </c>
      <c r="H108" s="13">
        <f t="shared" si="10"/>
        <v>1.1658431217528802</v>
      </c>
      <c r="I108" s="13">
        <f t="shared" si="11"/>
        <v>1.1659419471425345</v>
      </c>
      <c r="J108" s="14">
        <f t="shared" si="12"/>
        <v>1.1472868759882539E-2</v>
      </c>
      <c r="K108" s="14">
        <f t="shared" si="13"/>
        <v>9.8399999999999998E-3</v>
      </c>
      <c r="N108" s="6">
        <v>231000</v>
      </c>
      <c r="O108" s="6">
        <v>0.84172549130336582</v>
      </c>
      <c r="P108" s="6">
        <v>7.1883356957307444E-3</v>
      </c>
      <c r="Q108" s="6">
        <v>8.5400000000000007E-3</v>
      </c>
      <c r="R108" s="23">
        <v>0.94290786650101643</v>
      </c>
      <c r="S108" s="23">
        <v>1.1852351881917775E-2</v>
      </c>
      <c r="T108" s="23">
        <v>1.257E-2</v>
      </c>
      <c r="U108" s="23">
        <v>0.75835145132143666</v>
      </c>
      <c r="V108" s="23">
        <v>6.6507422280889994E-3</v>
      </c>
      <c r="W108" s="23">
        <v>8.77E-3</v>
      </c>
      <c r="X108" s="23">
        <v>0.93519948610797377</v>
      </c>
      <c r="Y108" s="23">
        <v>1.6160247119945789E-2</v>
      </c>
      <c r="Z108" s="23">
        <v>1.728E-2</v>
      </c>
      <c r="AA108" s="29">
        <v>1.0134543709058053</v>
      </c>
      <c r="AB108" s="29">
        <v>1.5465313700022588E-2</v>
      </c>
      <c r="AC108" s="29">
        <v>1.5259999999999999E-2</v>
      </c>
      <c r="AD108" s="29">
        <v>0.9142732098486559</v>
      </c>
      <c r="AE108" s="29">
        <v>8.5027408515924996E-3</v>
      </c>
      <c r="AF108" s="29">
        <v>9.2999999999999992E-3</v>
      </c>
      <c r="AG108" s="29">
        <v>0.99917410210074542</v>
      </c>
      <c r="AH108" s="29">
        <v>1.7605447679015136E-2</v>
      </c>
      <c r="AI108" s="29">
        <v>1.762E-2</v>
      </c>
      <c r="AJ108" s="35">
        <v>0.6076674384459001</v>
      </c>
      <c r="AK108" s="35">
        <v>4.8248794612604463E-3</v>
      </c>
      <c r="AL108" s="35">
        <v>7.9399999999999991E-3</v>
      </c>
      <c r="AM108" s="35">
        <v>0.68624844702959109</v>
      </c>
      <c r="AN108" s="35">
        <v>3.6302542847865371E-3</v>
      </c>
      <c r="AO108" s="35">
        <v>5.2900000000000004E-3</v>
      </c>
      <c r="AP108" s="35">
        <v>1.1659419471425345</v>
      </c>
      <c r="AQ108" s="35">
        <v>1.1472868759882539E-2</v>
      </c>
      <c r="AR108" s="35">
        <v>9.8399999999999998E-3</v>
      </c>
    </row>
    <row r="109" spans="3:44" x14ac:dyDescent="0.25">
      <c r="C109" s="15">
        <v>247700</v>
      </c>
      <c r="D109" s="1">
        <v>1.1794000000000001E-10</v>
      </c>
      <c r="E109" s="1">
        <v>1.1791999999999999E-10</v>
      </c>
      <c r="F109">
        <v>1.226E-2</v>
      </c>
      <c r="G109" s="13">
        <f t="shared" si="9"/>
        <v>1.165546645583917</v>
      </c>
      <c r="H109" s="13">
        <f t="shared" si="10"/>
        <v>1.1653489948046081</v>
      </c>
      <c r="I109" s="13">
        <f t="shared" si="11"/>
        <v>1.1654478201942626</v>
      </c>
      <c r="J109" s="14">
        <f t="shared" si="12"/>
        <v>1.428839027558166E-2</v>
      </c>
      <c r="K109" s="14">
        <f t="shared" si="13"/>
        <v>1.226E-2</v>
      </c>
      <c r="N109" s="6">
        <v>247700</v>
      </c>
      <c r="O109" s="6">
        <v>0.84142407386491969</v>
      </c>
      <c r="P109" s="6">
        <v>7.0595479797266759E-3</v>
      </c>
      <c r="Q109" s="6">
        <v>8.3899999999999999E-3</v>
      </c>
      <c r="R109" s="23">
        <v>0.94367870454032066</v>
      </c>
      <c r="S109" s="23">
        <v>8.9649476931330466E-3</v>
      </c>
      <c r="T109" s="23">
        <v>9.4999999999999998E-3</v>
      </c>
      <c r="U109" s="23">
        <v>0.75799567991868078</v>
      </c>
      <c r="V109" s="23">
        <v>5.3590294570250727E-3</v>
      </c>
      <c r="W109" s="23">
        <v>7.0699999999999999E-3</v>
      </c>
      <c r="X109" s="23">
        <v>0.93617291619606957</v>
      </c>
      <c r="Y109" s="23">
        <v>1.5643449429636323E-2</v>
      </c>
      <c r="Z109" s="23">
        <v>1.6709999999999999E-2</v>
      </c>
      <c r="AA109" s="29">
        <v>1.013157894736842</v>
      </c>
      <c r="AB109" s="29">
        <v>1.4052499999999999E-2</v>
      </c>
      <c r="AC109" s="29">
        <v>1.387E-2</v>
      </c>
      <c r="AD109" s="29">
        <v>0.91323060198780204</v>
      </c>
      <c r="AE109" s="29">
        <v>1.2547788471312401E-2</v>
      </c>
      <c r="AF109" s="29">
        <v>1.374E-2</v>
      </c>
      <c r="AG109" s="29">
        <v>1.0026329907386491</v>
      </c>
      <c r="AH109" s="29">
        <v>1.9922317525976955E-2</v>
      </c>
      <c r="AI109" s="29">
        <v>1.9869999999999999E-2</v>
      </c>
      <c r="AJ109" s="35">
        <v>0.6097872430539869</v>
      </c>
      <c r="AK109" s="35">
        <v>6.0551873235260897E-3</v>
      </c>
      <c r="AL109" s="35">
        <v>9.9299999999999996E-3</v>
      </c>
      <c r="AM109" s="35">
        <v>0.68418793765529684</v>
      </c>
      <c r="AN109" s="35">
        <v>5.9866444544838483E-3</v>
      </c>
      <c r="AO109" s="35">
        <v>8.7500000000000008E-3</v>
      </c>
      <c r="AP109" s="35">
        <v>1.1654478201942626</v>
      </c>
      <c r="AQ109" s="35">
        <v>1.428839027558166E-2</v>
      </c>
      <c r="AR109" s="35">
        <v>1.226E-2</v>
      </c>
    </row>
    <row r="110" spans="3:44" x14ac:dyDescent="0.25">
      <c r="C110" s="15">
        <v>265600</v>
      </c>
      <c r="D110" s="1">
        <v>1.184E-10</v>
      </c>
      <c r="E110" s="1">
        <v>1.1838000000000001E-10</v>
      </c>
      <c r="F110">
        <v>1.026E-2</v>
      </c>
      <c r="G110" s="13">
        <f t="shared" si="9"/>
        <v>1.170092613508019</v>
      </c>
      <c r="H110" s="13">
        <f t="shared" si="10"/>
        <v>1.1698949627287103</v>
      </c>
      <c r="I110" s="13">
        <f t="shared" si="11"/>
        <v>1.1699937881183646</v>
      </c>
      <c r="J110" s="14">
        <f t="shared" si="12"/>
        <v>1.2004136266094421E-2</v>
      </c>
      <c r="K110" s="14">
        <f t="shared" si="13"/>
        <v>1.026E-2</v>
      </c>
      <c r="N110" s="6">
        <v>265600</v>
      </c>
      <c r="O110" s="6">
        <v>0.84152784052405694</v>
      </c>
      <c r="P110" s="6">
        <v>7.8598700304946915E-3</v>
      </c>
      <c r="Q110" s="6">
        <v>9.3399999999999993E-3</v>
      </c>
      <c r="R110" s="23">
        <v>0.94267562683532868</v>
      </c>
      <c r="S110" s="23">
        <v>7.843061215269934E-3</v>
      </c>
      <c r="T110" s="23">
        <v>8.3199999999999993E-3</v>
      </c>
      <c r="U110" s="23">
        <v>0.75808462276936983</v>
      </c>
      <c r="V110" s="23">
        <v>6.8303424511520225E-3</v>
      </c>
      <c r="W110" s="23">
        <v>9.0100000000000006E-3</v>
      </c>
      <c r="X110" s="23">
        <v>0.93549102100745418</v>
      </c>
      <c r="Y110" s="23">
        <v>1.6361737957420373E-2</v>
      </c>
      <c r="Z110" s="23">
        <v>1.7489999999999999E-2</v>
      </c>
      <c r="AA110" s="29">
        <v>1.0117249265868535</v>
      </c>
      <c r="AB110" s="29">
        <v>1.7958117446916649E-2</v>
      </c>
      <c r="AC110" s="29">
        <v>1.7749999999999998E-2</v>
      </c>
      <c r="AD110" s="29">
        <v>0.91209905127625934</v>
      </c>
      <c r="AE110" s="29">
        <v>1.0552986023266321E-2</v>
      </c>
      <c r="AF110" s="29">
        <v>1.157E-2</v>
      </c>
      <c r="AG110" s="29">
        <v>1.001101197199006</v>
      </c>
      <c r="AH110" s="29">
        <v>2.1363499548226791E-2</v>
      </c>
      <c r="AI110" s="29">
        <v>2.1340000000000001E-2</v>
      </c>
      <c r="AJ110" s="35">
        <v>0.60995524621639929</v>
      </c>
      <c r="AK110" s="35">
        <v>4.4404741924553865E-3</v>
      </c>
      <c r="AL110" s="35">
        <v>7.28E-3</v>
      </c>
      <c r="AM110" s="35">
        <v>0.68320956629771845</v>
      </c>
      <c r="AN110" s="35">
        <v>6.1967107663203061E-3</v>
      </c>
      <c r="AO110" s="35">
        <v>9.0699999999999999E-3</v>
      </c>
      <c r="AP110" s="35">
        <v>1.1699937881183646</v>
      </c>
      <c r="AQ110" s="35">
        <v>1.2004136266094421E-2</v>
      </c>
      <c r="AR110" s="35">
        <v>1.026E-2</v>
      </c>
    </row>
    <row r="111" spans="3:44" x14ac:dyDescent="0.25">
      <c r="C111" s="15">
        <v>284800</v>
      </c>
      <c r="D111" s="1">
        <v>1.1815E-10</v>
      </c>
      <c r="E111" s="1">
        <v>1.1813000000000001E-10</v>
      </c>
      <c r="F111">
        <v>1.167E-2</v>
      </c>
      <c r="G111" s="13">
        <f t="shared" si="9"/>
        <v>1.1676219787666591</v>
      </c>
      <c r="H111" s="13">
        <f t="shared" si="10"/>
        <v>1.1674243279873504</v>
      </c>
      <c r="I111" s="13">
        <f t="shared" si="11"/>
        <v>1.1675231533770047</v>
      </c>
      <c r="J111" s="14">
        <f t="shared" si="12"/>
        <v>1.3624995199909645E-2</v>
      </c>
      <c r="K111" s="14">
        <f t="shared" si="13"/>
        <v>1.167E-2</v>
      </c>
      <c r="N111" s="6">
        <v>284800</v>
      </c>
      <c r="O111" s="6">
        <v>0.84232832618025755</v>
      </c>
      <c r="P111" s="6">
        <v>7.7662671673819749E-3</v>
      </c>
      <c r="Q111" s="6">
        <v>9.2200000000000008E-3</v>
      </c>
      <c r="R111" s="23">
        <v>0.94140572057826966</v>
      </c>
      <c r="S111" s="23">
        <v>7.5124176502145909E-3</v>
      </c>
      <c r="T111" s="23">
        <v>7.9799999999999992E-3</v>
      </c>
      <c r="U111" s="23">
        <v>0.75825262593178211</v>
      </c>
      <c r="V111" s="23">
        <v>7.8327496258753099E-3</v>
      </c>
      <c r="W111" s="23">
        <v>1.0330000000000001E-2</v>
      </c>
      <c r="X111" s="23">
        <v>0.9362915066636549</v>
      </c>
      <c r="Y111" s="23">
        <v>1.7948708182742263E-2</v>
      </c>
      <c r="Z111" s="23">
        <v>1.917E-2</v>
      </c>
      <c r="AA111" s="29">
        <v>1.0131084820420146</v>
      </c>
      <c r="AB111" s="29">
        <v>1.7992806641066183E-2</v>
      </c>
      <c r="AC111" s="29">
        <v>1.7760000000000001E-2</v>
      </c>
      <c r="AD111" s="29">
        <v>0.9152515812062344</v>
      </c>
      <c r="AE111" s="29">
        <v>9.1525158120623444E-3</v>
      </c>
      <c r="AF111" s="29">
        <v>0.01</v>
      </c>
      <c r="AG111" s="29">
        <v>0.9988776259317822</v>
      </c>
      <c r="AH111" s="29">
        <v>1.8718966709961597E-2</v>
      </c>
      <c r="AI111" s="29">
        <v>1.874E-2</v>
      </c>
      <c r="AJ111" s="35">
        <v>0.6099700700248476</v>
      </c>
      <c r="AK111" s="35">
        <v>5.7764165631353061E-3</v>
      </c>
      <c r="AL111" s="35">
        <v>9.4699999999999993E-3</v>
      </c>
      <c r="AM111" s="35">
        <v>0.68310085836909873</v>
      </c>
      <c r="AN111" s="35">
        <v>2.9305026824034339E-3</v>
      </c>
      <c r="AO111" s="35">
        <v>4.2900000000000004E-3</v>
      </c>
      <c r="AP111" s="35">
        <v>1.1675231533770047</v>
      </c>
      <c r="AQ111" s="35">
        <v>1.3624995199909645E-2</v>
      </c>
      <c r="AR111" s="35">
        <v>1.167E-2</v>
      </c>
    </row>
    <row r="112" spans="3:44" x14ac:dyDescent="0.25">
      <c r="C112" s="15">
        <v>305400</v>
      </c>
      <c r="D112" s="1">
        <v>1.1813000000000001E-10</v>
      </c>
      <c r="E112" s="1">
        <v>1.1812E-10</v>
      </c>
      <c r="F112">
        <v>1.085E-2</v>
      </c>
      <c r="G112" s="13">
        <f t="shared" si="9"/>
        <v>1.1674243279873504</v>
      </c>
      <c r="H112" s="13">
        <f t="shared" si="10"/>
        <v>1.1673255025976961</v>
      </c>
      <c r="I112" s="13">
        <f t="shared" si="11"/>
        <v>1.1673749152925232</v>
      </c>
      <c r="J112" s="14">
        <f t="shared" si="12"/>
        <v>1.2666017830923878E-2</v>
      </c>
      <c r="K112" s="14">
        <f t="shared" si="13"/>
        <v>1.085E-2</v>
      </c>
      <c r="N112" s="6">
        <v>305400</v>
      </c>
      <c r="O112" s="6">
        <v>0.84311398802800985</v>
      </c>
      <c r="P112" s="6">
        <v>7.1074509190761229E-3</v>
      </c>
      <c r="Q112" s="6">
        <v>8.43E-3</v>
      </c>
      <c r="R112" s="23">
        <v>0.9424829173255026</v>
      </c>
      <c r="S112" s="23">
        <v>8.2655751849446575E-3</v>
      </c>
      <c r="T112" s="23">
        <v>8.77E-3</v>
      </c>
      <c r="U112" s="23">
        <v>0.75840086401626383</v>
      </c>
      <c r="V112" s="23">
        <v>5.6425024282810033E-3</v>
      </c>
      <c r="W112" s="23">
        <v>7.4400000000000004E-3</v>
      </c>
      <c r="X112" s="23">
        <v>0.93670163203072054</v>
      </c>
      <c r="Y112" s="23">
        <v>1.7994038351310145E-2</v>
      </c>
      <c r="Z112" s="23">
        <v>1.9210000000000001E-2</v>
      </c>
      <c r="AA112" s="29">
        <v>1.0147391009713123</v>
      </c>
      <c r="AB112" s="29">
        <v>1.8173977298396201E-2</v>
      </c>
      <c r="AC112" s="29">
        <v>1.7909999999999999E-2</v>
      </c>
      <c r="AD112" s="29">
        <v>0.91200516715608759</v>
      </c>
      <c r="AE112" s="29">
        <v>1.0387738853907839E-2</v>
      </c>
      <c r="AF112" s="29">
        <v>1.1390000000000001E-2</v>
      </c>
      <c r="AG112" s="29">
        <v>1.001101197199006</v>
      </c>
      <c r="AH112" s="29">
        <v>1.9471418285520667E-2</v>
      </c>
      <c r="AI112" s="29">
        <v>1.9449999999999999E-2</v>
      </c>
      <c r="AJ112" s="35">
        <v>0.60945617799864471</v>
      </c>
      <c r="AK112" s="35">
        <v>4.8451766150892257E-3</v>
      </c>
      <c r="AL112" s="35">
        <v>7.9500000000000005E-3</v>
      </c>
      <c r="AM112" s="35">
        <v>0.68262155522927492</v>
      </c>
      <c r="AN112" s="35">
        <v>6.1845512903772309E-3</v>
      </c>
      <c r="AO112" s="35">
        <v>9.0600000000000003E-3</v>
      </c>
      <c r="AP112" s="35">
        <v>1.1673749152925232</v>
      </c>
      <c r="AQ112" s="35">
        <v>1.2666017830923878E-2</v>
      </c>
      <c r="AR112" s="35">
        <v>1.085E-2</v>
      </c>
    </row>
    <row r="113" spans="3:44" x14ac:dyDescent="0.25">
      <c r="C113" s="15">
        <v>327500</v>
      </c>
      <c r="D113" s="1">
        <v>1.1821E-10</v>
      </c>
      <c r="E113" s="1">
        <v>1.1819999999999999E-10</v>
      </c>
      <c r="F113">
        <v>1.0019999999999999E-2</v>
      </c>
      <c r="G113" s="13">
        <f t="shared" si="9"/>
        <v>1.1682149311045853</v>
      </c>
      <c r="H113" s="13">
        <f t="shared" si="10"/>
        <v>1.168116105714931</v>
      </c>
      <c r="I113" s="13">
        <f t="shared" si="11"/>
        <v>1.1681655184097581</v>
      </c>
      <c r="J113" s="14">
        <f t="shared" si="12"/>
        <v>1.1705018494465775E-2</v>
      </c>
      <c r="K113" s="14">
        <f t="shared" si="13"/>
        <v>1.0019999999999999E-2</v>
      </c>
      <c r="N113" s="6">
        <v>327500</v>
      </c>
      <c r="O113" s="6">
        <v>0.84246668172577366</v>
      </c>
      <c r="P113" s="6">
        <v>7.6580221368872832E-3</v>
      </c>
      <c r="Q113" s="6">
        <v>9.0900000000000009E-3</v>
      </c>
      <c r="R113" s="23">
        <v>0.94141560311723504</v>
      </c>
      <c r="S113" s="23">
        <v>8.4915687401174601E-3</v>
      </c>
      <c r="T113" s="23">
        <v>9.0200000000000002E-3</v>
      </c>
      <c r="U113" s="23">
        <v>0.76084679241021003</v>
      </c>
      <c r="V113" s="23">
        <v>6.4519807996385806E-3</v>
      </c>
      <c r="W113" s="23">
        <v>8.4799999999999997E-3</v>
      </c>
      <c r="X113" s="23">
        <v>0.93568867178676296</v>
      </c>
      <c r="Y113" s="23">
        <v>1.9640105220804158E-2</v>
      </c>
      <c r="Z113" s="23">
        <v>2.0990000000000002E-2</v>
      </c>
      <c r="AA113" s="29">
        <v>1.0143932121075219</v>
      </c>
      <c r="AB113" s="29">
        <v>1.9598076857917323E-2</v>
      </c>
      <c r="AC113" s="29">
        <v>1.932E-2</v>
      </c>
      <c r="AD113" s="29">
        <v>0.91436215269934484</v>
      </c>
      <c r="AE113" s="29">
        <v>1.0707180808109328E-2</v>
      </c>
      <c r="AF113" s="29">
        <v>1.171E-2</v>
      </c>
      <c r="AG113" s="29">
        <v>0.99971764174384459</v>
      </c>
      <c r="AH113" s="29">
        <v>2.1673878473006551E-2</v>
      </c>
      <c r="AI113" s="29">
        <v>2.1680000000000001E-2</v>
      </c>
      <c r="AJ113" s="35">
        <v>0.6091300542127851</v>
      </c>
      <c r="AK113" s="35">
        <v>5.4821704879150657E-3</v>
      </c>
      <c r="AL113" s="35">
        <v>8.9999999999999993E-3</v>
      </c>
      <c r="AM113" s="35">
        <v>0.68500324711994565</v>
      </c>
      <c r="AN113" s="35">
        <v>6.7609820490738635E-3</v>
      </c>
      <c r="AO113" s="35">
        <v>9.8700000000000003E-3</v>
      </c>
      <c r="AP113" s="35">
        <v>1.1681655184097581</v>
      </c>
      <c r="AQ113" s="35">
        <v>1.1705018494465775E-2</v>
      </c>
      <c r="AR113" s="35">
        <v>1.0019999999999999E-2</v>
      </c>
    </row>
    <row r="114" spans="3:44" x14ac:dyDescent="0.25">
      <c r="C114" s="15">
        <v>351100</v>
      </c>
      <c r="D114" s="1">
        <v>1.1827E-10</v>
      </c>
      <c r="E114" s="1">
        <v>1.1825999999999999E-10</v>
      </c>
      <c r="F114">
        <v>1.1650000000000001E-2</v>
      </c>
      <c r="G114" s="13">
        <f t="shared" si="9"/>
        <v>1.168807883442512</v>
      </c>
      <c r="H114" s="13">
        <f t="shared" si="10"/>
        <v>1.1687090580528572</v>
      </c>
      <c r="I114" s="13">
        <f t="shared" si="11"/>
        <v>1.1687584707476846</v>
      </c>
      <c r="J114" s="14">
        <f t="shared" si="12"/>
        <v>1.3616036184210527E-2</v>
      </c>
      <c r="K114" s="14">
        <f t="shared" si="13"/>
        <v>1.1650000000000001E-2</v>
      </c>
      <c r="N114" s="6">
        <v>351100</v>
      </c>
      <c r="O114" s="6">
        <v>0.84258033092387619</v>
      </c>
      <c r="P114" s="6">
        <v>8.2067324231985539E-3</v>
      </c>
      <c r="Q114" s="6">
        <v>9.7400000000000004E-3</v>
      </c>
      <c r="R114" s="23">
        <v>0.9437972950079061</v>
      </c>
      <c r="S114" s="23">
        <v>9.3907830853286658E-3</v>
      </c>
      <c r="T114" s="23">
        <v>9.9500000000000005E-3</v>
      </c>
      <c r="U114" s="23">
        <v>0.76083690987124464</v>
      </c>
      <c r="V114" s="23">
        <v>4.3215536480686696E-3</v>
      </c>
      <c r="W114" s="23">
        <v>5.6800000000000002E-3</v>
      </c>
      <c r="X114" s="23">
        <v>0.93777388750847068</v>
      </c>
      <c r="Y114" s="23">
        <v>2.1681332279195845E-2</v>
      </c>
      <c r="Z114" s="23">
        <v>2.3120000000000002E-2</v>
      </c>
      <c r="AA114" s="29">
        <v>1.0152332279195844</v>
      </c>
      <c r="AB114" s="29">
        <v>1.997978992545742E-2</v>
      </c>
      <c r="AC114" s="29">
        <v>1.968E-2</v>
      </c>
      <c r="AD114" s="29">
        <v>0.91348260673142079</v>
      </c>
      <c r="AE114" s="29">
        <v>1.1098813671786762E-2</v>
      </c>
      <c r="AF114" s="29">
        <v>1.2149999999999999E-2</v>
      </c>
      <c r="AG114" s="29">
        <v>1.0004094194714253</v>
      </c>
      <c r="AH114" s="29">
        <v>2.2189080923876212E-2</v>
      </c>
      <c r="AI114" s="29">
        <v>2.2179999999999998E-2</v>
      </c>
      <c r="AJ114" s="35">
        <v>0.60949570815450649</v>
      </c>
      <c r="AK114" s="35">
        <v>5.7353546137339064E-3</v>
      </c>
      <c r="AL114" s="35">
        <v>9.41E-3</v>
      </c>
      <c r="AM114" s="35">
        <v>0.68412864242150428</v>
      </c>
      <c r="AN114" s="35">
        <v>5.6166961542805502E-3</v>
      </c>
      <c r="AO114" s="35">
        <v>8.2100000000000003E-3</v>
      </c>
      <c r="AP114" s="35">
        <v>1.1687584707476846</v>
      </c>
      <c r="AQ114" s="35">
        <v>1.3616036184210527E-2</v>
      </c>
      <c r="AR114" s="35">
        <v>1.1650000000000001E-2</v>
      </c>
    </row>
    <row r="115" spans="3:44" x14ac:dyDescent="0.25">
      <c r="C115" s="15">
        <v>376500</v>
      </c>
      <c r="D115" s="1">
        <v>1.1827E-10</v>
      </c>
      <c r="E115" s="1">
        <v>1.1825000000000001E-10</v>
      </c>
      <c r="F115">
        <v>1.349E-2</v>
      </c>
      <c r="G115" s="13">
        <f t="shared" si="9"/>
        <v>1.168807883442512</v>
      </c>
      <c r="H115" s="13">
        <f t="shared" si="10"/>
        <v>1.1686102326632031</v>
      </c>
      <c r="I115" s="13">
        <f t="shared" si="11"/>
        <v>1.1687090580528574</v>
      </c>
      <c r="J115" s="14">
        <f t="shared" si="12"/>
        <v>1.5765885193133048E-2</v>
      </c>
      <c r="K115" s="14">
        <f t="shared" si="13"/>
        <v>1.349E-2</v>
      </c>
      <c r="N115" s="6">
        <v>376500</v>
      </c>
      <c r="O115" s="6">
        <v>0.84411706573300205</v>
      </c>
      <c r="P115" s="6">
        <v>7.9347004178902201E-3</v>
      </c>
      <c r="Q115" s="6">
        <v>9.4000000000000004E-3</v>
      </c>
      <c r="R115" s="23">
        <v>0.94317469505308327</v>
      </c>
      <c r="S115" s="23">
        <v>8.5451627371809346E-3</v>
      </c>
      <c r="T115" s="23">
        <v>9.0600000000000003E-3</v>
      </c>
      <c r="U115" s="23">
        <v>0.76047125592952325</v>
      </c>
      <c r="V115" s="23">
        <v>7.1256156680596329E-3</v>
      </c>
      <c r="W115" s="23">
        <v>9.3699999999999999E-3</v>
      </c>
      <c r="X115" s="23">
        <v>0.93752188276485193</v>
      </c>
      <c r="Y115" s="23">
        <v>2.1881760743731642E-2</v>
      </c>
      <c r="Z115" s="23">
        <v>2.334E-2</v>
      </c>
      <c r="AA115" s="29">
        <v>1.015183815224757</v>
      </c>
      <c r="AB115" s="29">
        <v>2.201933695222498E-2</v>
      </c>
      <c r="AC115" s="29">
        <v>2.1690000000000001E-2</v>
      </c>
      <c r="AD115" s="29">
        <v>0.9157407668850237</v>
      </c>
      <c r="AE115" s="29">
        <v>1.2591435544669075E-2</v>
      </c>
      <c r="AF115" s="29">
        <v>1.375E-2</v>
      </c>
      <c r="AG115" s="29">
        <v>0.99877880054212786</v>
      </c>
      <c r="AH115" s="29">
        <v>2.4899555497515248E-2</v>
      </c>
      <c r="AI115" s="29">
        <v>2.4930000000000001E-2</v>
      </c>
      <c r="AJ115" s="35">
        <v>0.60998983510277838</v>
      </c>
      <c r="AK115" s="35">
        <v>5.4594090241698659E-3</v>
      </c>
      <c r="AL115" s="35">
        <v>8.9499999999999996E-3</v>
      </c>
      <c r="AM115" s="35">
        <v>0.68529478201942617</v>
      </c>
      <c r="AN115" s="35">
        <v>8.4428317144793295E-3</v>
      </c>
      <c r="AO115" s="35">
        <v>1.2319999999999999E-2</v>
      </c>
      <c r="AP115" s="35">
        <v>1.1687090580528574</v>
      </c>
      <c r="AQ115" s="35">
        <v>1.5765885193133048E-2</v>
      </c>
      <c r="AR115" s="35">
        <v>1.349E-2</v>
      </c>
    </row>
    <row r="116" spans="3:44" x14ac:dyDescent="0.25">
      <c r="C116" s="15">
        <v>403700</v>
      </c>
      <c r="D116" s="1">
        <v>1.1854999999999999E-10</v>
      </c>
      <c r="E116" s="1">
        <v>1.1853E-10</v>
      </c>
      <c r="F116">
        <v>1.38E-2</v>
      </c>
      <c r="G116" s="13">
        <f t="shared" si="9"/>
        <v>1.1715749943528349</v>
      </c>
      <c r="H116" s="13">
        <f t="shared" si="10"/>
        <v>1.1713773435735262</v>
      </c>
      <c r="I116" s="13">
        <f t="shared" si="11"/>
        <v>1.1714761689631805</v>
      </c>
      <c r="J116" s="14">
        <f t="shared" si="12"/>
        <v>1.6166371131691892E-2</v>
      </c>
      <c r="K116" s="14">
        <f t="shared" si="13"/>
        <v>1.38E-2</v>
      </c>
      <c r="N116" s="6">
        <v>403700</v>
      </c>
      <c r="O116" s="6">
        <v>0.8446853117235148</v>
      </c>
      <c r="P116" s="6">
        <v>8.2272349361870341E-3</v>
      </c>
      <c r="Q116" s="6">
        <v>9.7400000000000004E-3</v>
      </c>
      <c r="R116" s="23">
        <v>0.94522532188841213</v>
      </c>
      <c r="S116" s="23">
        <v>1.0038292918454936E-2</v>
      </c>
      <c r="T116" s="23">
        <v>1.0619999999999999E-2</v>
      </c>
      <c r="U116" s="23">
        <v>0.76044654958210978</v>
      </c>
      <c r="V116" s="23">
        <v>6.3269152925231531E-3</v>
      </c>
      <c r="W116" s="23">
        <v>8.3199999999999993E-3</v>
      </c>
      <c r="X116" s="23">
        <v>0.93865837474587743</v>
      </c>
      <c r="Y116" s="23">
        <v>2.3475845952394395E-2</v>
      </c>
      <c r="Z116" s="23">
        <v>2.5010000000000001E-2</v>
      </c>
      <c r="AA116" s="29">
        <v>1.0159744183419921</v>
      </c>
      <c r="AB116" s="29">
        <v>2.1802811017619151E-2</v>
      </c>
      <c r="AC116" s="29">
        <v>2.146E-2</v>
      </c>
      <c r="AD116" s="29">
        <v>0.91634854303139823</v>
      </c>
      <c r="AE116" s="29">
        <v>1.1637626496498757E-2</v>
      </c>
      <c r="AF116" s="29">
        <v>1.2699999999999999E-2</v>
      </c>
      <c r="AG116" s="29">
        <v>1.0008541337248702</v>
      </c>
      <c r="AH116" s="29">
        <v>2.4631020230969056E-2</v>
      </c>
      <c r="AI116" s="29">
        <v>2.461E-2</v>
      </c>
      <c r="AJ116" s="35">
        <v>0.61020725096001804</v>
      </c>
      <c r="AK116" s="35">
        <v>5.7420502315337699E-3</v>
      </c>
      <c r="AL116" s="35">
        <v>9.41E-3</v>
      </c>
      <c r="AM116" s="35">
        <v>0.68593714705217979</v>
      </c>
      <c r="AN116" s="35">
        <v>5.4463409475943069E-3</v>
      </c>
      <c r="AO116" s="35">
        <v>7.9399999999999991E-3</v>
      </c>
      <c r="AP116" s="35">
        <v>1.1714761689631805</v>
      </c>
      <c r="AQ116" s="35">
        <v>1.6166371131691892E-2</v>
      </c>
      <c r="AR116" s="35">
        <v>1.38E-2</v>
      </c>
    </row>
    <row r="117" spans="3:44" x14ac:dyDescent="0.25">
      <c r="C117" s="15">
        <v>432900</v>
      </c>
      <c r="D117" s="1">
        <v>1.1857999999999999E-10</v>
      </c>
      <c r="E117" s="1">
        <v>1.1856E-10</v>
      </c>
      <c r="F117">
        <v>1.3950000000000001E-2</v>
      </c>
      <c r="G117" s="13">
        <f t="shared" si="9"/>
        <v>1.1718714705217981</v>
      </c>
      <c r="H117" s="13">
        <f t="shared" si="10"/>
        <v>1.1716738197424892</v>
      </c>
      <c r="I117" s="13">
        <f t="shared" si="11"/>
        <v>1.1717726451321435</v>
      </c>
      <c r="J117" s="14">
        <f t="shared" si="12"/>
        <v>1.6346228399593404E-2</v>
      </c>
      <c r="K117" s="14">
        <f t="shared" si="13"/>
        <v>1.3950000000000001E-2</v>
      </c>
      <c r="N117" s="6">
        <v>432900</v>
      </c>
      <c r="O117" s="6">
        <v>0.84493731646713344</v>
      </c>
      <c r="P117" s="6">
        <v>8.7197531059408171E-3</v>
      </c>
      <c r="Q117" s="6">
        <v>1.0319999999999999E-2</v>
      </c>
      <c r="R117" s="23">
        <v>0.94614439801219796</v>
      </c>
      <c r="S117" s="23">
        <v>1.1060428012762595E-2</v>
      </c>
      <c r="T117" s="23">
        <v>1.1690000000000001E-2</v>
      </c>
      <c r="U117" s="23">
        <v>0.76102467811158792</v>
      </c>
      <c r="V117" s="23">
        <v>5.7381260729613727E-3</v>
      </c>
      <c r="W117" s="23">
        <v>7.5399999999999998E-3</v>
      </c>
      <c r="X117" s="23">
        <v>0.93930568104811374</v>
      </c>
      <c r="Y117" s="23">
        <v>2.5220357536141852E-2</v>
      </c>
      <c r="Z117" s="23">
        <v>2.6849999999999999E-2</v>
      </c>
      <c r="AA117" s="29">
        <v>1.0180003388299075</v>
      </c>
      <c r="AB117" s="29">
        <v>2.3790667918454935E-2</v>
      </c>
      <c r="AC117" s="29">
        <v>2.3369999999999998E-2</v>
      </c>
      <c r="AD117" s="29">
        <v>0.91705514456742709</v>
      </c>
      <c r="AE117" s="29">
        <v>1.2664531546476168E-2</v>
      </c>
      <c r="AF117" s="29">
        <v>1.3809999999999999E-2</v>
      </c>
      <c r="AG117" s="29">
        <v>1.0021388637903772</v>
      </c>
      <c r="AH117" s="29">
        <v>2.5684819078947367E-2</v>
      </c>
      <c r="AI117" s="29">
        <v>2.563E-2</v>
      </c>
      <c r="AJ117" s="35">
        <v>0.61113620962276927</v>
      </c>
      <c r="AK117" s="35">
        <v>5.628564490625705E-3</v>
      </c>
      <c r="AL117" s="35">
        <v>9.2099999999999994E-3</v>
      </c>
      <c r="AM117" s="35">
        <v>0.68653009939010623</v>
      </c>
      <c r="AN117" s="35">
        <v>6.6524766630901297E-3</v>
      </c>
      <c r="AO117" s="35">
        <v>9.6900000000000007E-3</v>
      </c>
      <c r="AP117" s="35">
        <v>1.1717726451321435</v>
      </c>
      <c r="AQ117" s="35">
        <v>1.6346228399593404E-2</v>
      </c>
      <c r="AR117" s="35">
        <v>1.3950000000000001E-2</v>
      </c>
    </row>
    <row r="118" spans="3:44" x14ac:dyDescent="0.25">
      <c r="C118" s="15">
        <v>464200</v>
      </c>
      <c r="D118" s="1">
        <v>1.1873000000000001E-10</v>
      </c>
      <c r="E118" s="1">
        <v>1.1871E-10</v>
      </c>
      <c r="F118">
        <v>1.5089999999999999E-2</v>
      </c>
      <c r="G118" s="13">
        <f t="shared" si="9"/>
        <v>1.1733538513666142</v>
      </c>
      <c r="H118" s="13">
        <f t="shared" si="10"/>
        <v>1.1731562005873051</v>
      </c>
      <c r="I118" s="13">
        <f t="shared" si="11"/>
        <v>1.1732550259769596</v>
      </c>
      <c r="J118" s="14">
        <f t="shared" si="12"/>
        <v>1.7704418341992319E-2</v>
      </c>
      <c r="K118" s="14">
        <f t="shared" si="13"/>
        <v>1.5089999999999999E-2</v>
      </c>
      <c r="N118" s="6">
        <v>464200</v>
      </c>
      <c r="O118" s="6">
        <v>0.84613310368195171</v>
      </c>
      <c r="P118" s="6">
        <v>9.5951493957533319E-3</v>
      </c>
      <c r="Q118" s="6">
        <v>1.1339999999999999E-2</v>
      </c>
      <c r="R118" s="23">
        <v>0.94627781228823127</v>
      </c>
      <c r="S118" s="23">
        <v>1.0579385941382427E-2</v>
      </c>
      <c r="T118" s="23">
        <v>1.1180000000000001E-2</v>
      </c>
      <c r="U118" s="23">
        <v>0.76244776372261125</v>
      </c>
      <c r="V118" s="23">
        <v>6.9992704709735719E-3</v>
      </c>
      <c r="W118" s="23">
        <v>9.1800000000000007E-3</v>
      </c>
      <c r="X118" s="23">
        <v>0.94077817935396424</v>
      </c>
      <c r="Y118" s="23">
        <v>2.6652245821097809E-2</v>
      </c>
      <c r="Z118" s="23">
        <v>2.8330000000000001E-2</v>
      </c>
      <c r="AA118" s="29">
        <v>1.0180003388299075</v>
      </c>
      <c r="AB118" s="29">
        <v>2.4829028264061442E-2</v>
      </c>
      <c r="AC118" s="29">
        <v>2.4389999999999998E-2</v>
      </c>
      <c r="AD118" s="29">
        <v>0.91798904449966123</v>
      </c>
      <c r="AE118" s="29">
        <v>1.360459763948498E-2</v>
      </c>
      <c r="AF118" s="29">
        <v>1.482E-2</v>
      </c>
      <c r="AG118" s="29">
        <v>1.0021882764852044</v>
      </c>
      <c r="AH118" s="29">
        <v>2.8161490569234244E-2</v>
      </c>
      <c r="AI118" s="29">
        <v>2.81E-2</v>
      </c>
      <c r="AJ118" s="35">
        <v>0.61195646035690077</v>
      </c>
      <c r="AK118" s="35">
        <v>6.1746406850011291E-3</v>
      </c>
      <c r="AL118" s="35">
        <v>1.009E-2</v>
      </c>
      <c r="AM118" s="35">
        <v>0.68757270725095998</v>
      </c>
      <c r="AN118" s="35">
        <v>6.5319407188841197E-3</v>
      </c>
      <c r="AO118" s="35">
        <v>9.4999999999999998E-3</v>
      </c>
      <c r="AP118" s="35">
        <v>1.1732550259769596</v>
      </c>
      <c r="AQ118" s="35">
        <v>1.7704418341992319E-2</v>
      </c>
      <c r="AR118" s="35">
        <v>1.5089999999999999E-2</v>
      </c>
    </row>
    <row r="119" spans="3:44" x14ac:dyDescent="0.25">
      <c r="C119" s="15">
        <v>497700</v>
      </c>
      <c r="D119" s="1">
        <v>1.189E-10</v>
      </c>
      <c r="E119" s="1">
        <v>1.1887E-10</v>
      </c>
      <c r="F119">
        <v>1.6320000000000001E-2</v>
      </c>
      <c r="G119" s="13">
        <f t="shared" si="9"/>
        <v>1.1750338829907385</v>
      </c>
      <c r="H119" s="13">
        <f t="shared" si="10"/>
        <v>1.1747374068217755</v>
      </c>
      <c r="I119" s="13">
        <f t="shared" si="11"/>
        <v>1.174885644906257</v>
      </c>
      <c r="J119" s="14">
        <f t="shared" si="12"/>
        <v>1.9174133724870115E-2</v>
      </c>
      <c r="K119" s="14">
        <f t="shared" si="13"/>
        <v>1.6320000000000001E-2</v>
      </c>
      <c r="N119" s="6">
        <v>497700</v>
      </c>
      <c r="O119" s="6">
        <v>0.8476204257962503</v>
      </c>
      <c r="P119" s="6">
        <v>9.874777960526316E-3</v>
      </c>
      <c r="Q119" s="6">
        <v>1.1650000000000001E-2</v>
      </c>
      <c r="R119" s="23">
        <v>0.9473698328439123</v>
      </c>
      <c r="S119" s="23">
        <v>1.0989490060989381E-2</v>
      </c>
      <c r="T119" s="23">
        <v>1.1599999999999999E-2</v>
      </c>
      <c r="U119" s="23">
        <v>0.76352496046984419</v>
      </c>
      <c r="V119" s="23">
        <v>7.1236878811836461E-3</v>
      </c>
      <c r="W119" s="23">
        <v>9.3299999999999998E-3</v>
      </c>
      <c r="X119" s="23">
        <v>0.94185043483171438</v>
      </c>
      <c r="Y119" s="23">
        <v>2.8029468940591822E-2</v>
      </c>
      <c r="Z119" s="23">
        <v>2.9760000000000002E-2</v>
      </c>
      <c r="AA119" s="29">
        <v>1.0192356562005873</v>
      </c>
      <c r="AB119" s="29">
        <v>2.6072048085611022E-2</v>
      </c>
      <c r="AC119" s="29">
        <v>2.5579999999999999E-2</v>
      </c>
      <c r="AD119" s="29">
        <v>0.9191749491755139</v>
      </c>
      <c r="AE119" s="29">
        <v>1.4458621950530834E-2</v>
      </c>
      <c r="AF119" s="29">
        <v>1.5730000000000001E-2</v>
      </c>
      <c r="AG119" s="29">
        <v>1.0033741811610573</v>
      </c>
      <c r="AH119" s="29">
        <v>2.8194814490625709E-2</v>
      </c>
      <c r="AI119" s="29">
        <v>2.81E-2</v>
      </c>
      <c r="AJ119" s="35">
        <v>0.61261364919810257</v>
      </c>
      <c r="AK119" s="35">
        <v>5.9423523972215947E-3</v>
      </c>
      <c r="AL119" s="35">
        <v>9.7000000000000003E-3</v>
      </c>
      <c r="AM119" s="35">
        <v>0.68885743731646709</v>
      </c>
      <c r="AN119" s="35">
        <v>7.2123373687034108E-3</v>
      </c>
      <c r="AO119" s="35">
        <v>1.047E-2</v>
      </c>
      <c r="AP119" s="35">
        <v>1.174885644906257</v>
      </c>
      <c r="AQ119" s="35">
        <v>1.9174133724870115E-2</v>
      </c>
      <c r="AR119" s="35">
        <v>1.6320000000000001E-2</v>
      </c>
    </row>
    <row r="120" spans="3:44" x14ac:dyDescent="0.25">
      <c r="C120" s="15">
        <v>533700</v>
      </c>
      <c r="D120" s="1">
        <v>1.1904000000000001E-10</v>
      </c>
      <c r="E120" s="1">
        <v>1.19E-10</v>
      </c>
      <c r="F120">
        <v>1.6310000000000002E-2</v>
      </c>
      <c r="G120" s="13">
        <f t="shared" si="9"/>
        <v>1.1764174384459003</v>
      </c>
      <c r="H120" s="13">
        <f t="shared" si="10"/>
        <v>1.1760221368872825</v>
      </c>
      <c r="I120" s="13">
        <f t="shared" si="11"/>
        <v>1.1762197876665914</v>
      </c>
      <c r="J120" s="14">
        <f t="shared" si="12"/>
        <v>1.9184144736842108E-2</v>
      </c>
      <c r="K120" s="14">
        <f t="shared" si="13"/>
        <v>1.6310000000000002E-2</v>
      </c>
      <c r="N120" s="6">
        <v>533700</v>
      </c>
      <c r="O120" s="6">
        <v>0.84869762254348313</v>
      </c>
      <c r="P120" s="6">
        <v>1.0150423565620058E-2</v>
      </c>
      <c r="Q120" s="6">
        <v>1.196E-2</v>
      </c>
      <c r="R120" s="23">
        <v>0.94882256607183191</v>
      </c>
      <c r="S120" s="23">
        <v>1.1518705952112039E-2</v>
      </c>
      <c r="T120" s="23">
        <v>1.214E-2</v>
      </c>
      <c r="U120" s="23">
        <v>0.76421673819742486</v>
      </c>
      <c r="V120" s="23">
        <v>8.574511802575107E-3</v>
      </c>
      <c r="W120" s="23">
        <v>1.1220000000000001E-2</v>
      </c>
      <c r="X120" s="23">
        <v>0.94322904901739324</v>
      </c>
      <c r="Y120" s="23">
        <v>2.914577761463745E-2</v>
      </c>
      <c r="Z120" s="23">
        <v>3.09E-2</v>
      </c>
      <c r="AA120" s="29">
        <v>1.0205697989609217</v>
      </c>
      <c r="AB120" s="29">
        <v>2.7749292833747458E-2</v>
      </c>
      <c r="AC120" s="29">
        <v>2.7189999999999999E-2</v>
      </c>
      <c r="AD120" s="29">
        <v>0.92004461260447257</v>
      </c>
      <c r="AE120" s="29">
        <v>1.4987526739326858E-2</v>
      </c>
      <c r="AF120" s="29">
        <v>1.6289999999999999E-2</v>
      </c>
      <c r="AG120" s="29">
        <v>1.004362435057601</v>
      </c>
      <c r="AH120" s="29">
        <v>3.0683272391009712E-2</v>
      </c>
      <c r="AI120" s="29">
        <v>3.0550000000000001E-2</v>
      </c>
      <c r="AJ120" s="35">
        <v>0.61325601423085607</v>
      </c>
      <c r="AK120" s="35">
        <v>5.9485833380393044E-3</v>
      </c>
      <c r="AL120" s="35">
        <v>9.7000000000000003E-3</v>
      </c>
      <c r="AM120" s="35">
        <v>0.6899889880280099</v>
      </c>
      <c r="AN120" s="35">
        <v>7.7830757849559513E-3</v>
      </c>
      <c r="AO120" s="35">
        <v>1.128E-2</v>
      </c>
      <c r="AP120" s="35">
        <v>1.1762197876665914</v>
      </c>
      <c r="AQ120" s="35">
        <v>1.9184144736842108E-2</v>
      </c>
      <c r="AR120" s="35">
        <v>1.6310000000000002E-2</v>
      </c>
    </row>
    <row r="121" spans="3:44" x14ac:dyDescent="0.25">
      <c r="C121" s="15">
        <v>572200</v>
      </c>
      <c r="D121" s="1">
        <v>1.1945000000000001E-10</v>
      </c>
      <c r="E121" s="1">
        <v>1.1942000000000001E-10</v>
      </c>
      <c r="F121">
        <v>1.6840000000000001E-2</v>
      </c>
      <c r="G121" s="13">
        <f t="shared" si="9"/>
        <v>1.1804692794217304</v>
      </c>
      <c r="H121" s="13">
        <f t="shared" si="10"/>
        <v>1.1801728032527674</v>
      </c>
      <c r="I121" s="13">
        <f t="shared" si="11"/>
        <v>1.1803210413372489</v>
      </c>
      <c r="J121" s="14">
        <f t="shared" si="12"/>
        <v>1.9876606336119273E-2</v>
      </c>
      <c r="K121" s="14">
        <f t="shared" si="13"/>
        <v>1.6840000000000001E-2</v>
      </c>
      <c r="N121" s="6">
        <v>572200</v>
      </c>
      <c r="O121" s="6">
        <v>0.85043694940140035</v>
      </c>
      <c r="P121" s="6">
        <v>1.0196739023322791E-2</v>
      </c>
      <c r="Q121" s="6">
        <v>1.1990000000000001E-2</v>
      </c>
      <c r="R121" s="23">
        <v>0.95153532301784494</v>
      </c>
      <c r="S121" s="23">
        <v>1.1104417219618251E-2</v>
      </c>
      <c r="T121" s="23">
        <v>1.167E-2</v>
      </c>
      <c r="U121" s="23">
        <v>0.76574359046758522</v>
      </c>
      <c r="V121" s="23">
        <v>8.0326502640049677E-3</v>
      </c>
      <c r="W121" s="23">
        <v>1.0489999999999999E-2</v>
      </c>
      <c r="X121" s="23">
        <v>0.94471637113169171</v>
      </c>
      <c r="Y121" s="23">
        <v>3.1487396649819283E-2</v>
      </c>
      <c r="Z121" s="23">
        <v>3.3329999999999999E-2</v>
      </c>
      <c r="AA121" s="29">
        <v>1.0222992432798734</v>
      </c>
      <c r="AB121" s="29">
        <v>3.0300949570815448E-2</v>
      </c>
      <c r="AC121" s="29">
        <v>2.964E-2</v>
      </c>
      <c r="AD121" s="29">
        <v>0.92197664897221598</v>
      </c>
      <c r="AE121" s="29">
        <v>1.4816164748983512E-2</v>
      </c>
      <c r="AF121" s="29">
        <v>1.6070000000000001E-2</v>
      </c>
      <c r="AG121" s="29">
        <v>1.0054495143437991</v>
      </c>
      <c r="AH121" s="29">
        <v>3.0998008527219328E-2</v>
      </c>
      <c r="AI121" s="29">
        <v>3.083E-2</v>
      </c>
      <c r="AJ121" s="35">
        <v>0.61455556810481138</v>
      </c>
      <c r="AK121" s="35">
        <v>6.5880356900835779E-3</v>
      </c>
      <c r="AL121" s="35">
        <v>1.072E-2</v>
      </c>
      <c r="AM121" s="35">
        <v>0.69076970860627962</v>
      </c>
      <c r="AN121" s="35">
        <v>8.0060209227467809E-3</v>
      </c>
      <c r="AO121" s="35">
        <v>1.159E-2</v>
      </c>
      <c r="AP121" s="35">
        <v>1.1803210413372489</v>
      </c>
      <c r="AQ121" s="35">
        <v>1.9876606336119273E-2</v>
      </c>
      <c r="AR121" s="35">
        <v>1.6840000000000001E-2</v>
      </c>
    </row>
    <row r="122" spans="3:44" x14ac:dyDescent="0.25">
      <c r="C122" s="15">
        <v>613600</v>
      </c>
      <c r="D122" s="1">
        <v>1.1948000000000001E-10</v>
      </c>
      <c r="E122" s="1">
        <v>1.1944E-10</v>
      </c>
      <c r="F122">
        <v>1.8010000000000002E-2</v>
      </c>
      <c r="G122" s="13">
        <f t="shared" si="9"/>
        <v>1.1807657555906936</v>
      </c>
      <c r="H122" s="13">
        <f t="shared" si="10"/>
        <v>1.1803704540320759</v>
      </c>
      <c r="I122" s="13">
        <f t="shared" si="11"/>
        <v>1.1805681048113847</v>
      </c>
      <c r="J122" s="14">
        <f t="shared" si="12"/>
        <v>2.126203156765304E-2</v>
      </c>
      <c r="K122" s="14">
        <f t="shared" si="13"/>
        <v>1.8010000000000002E-2</v>
      </c>
      <c r="N122" s="6">
        <v>613600</v>
      </c>
      <c r="O122" s="6">
        <v>0.85168709058052849</v>
      </c>
      <c r="P122" s="6">
        <v>1.1097482790264287E-2</v>
      </c>
      <c r="Q122" s="6">
        <v>1.303E-2</v>
      </c>
      <c r="R122" s="23">
        <v>0.95312147052179808</v>
      </c>
      <c r="S122" s="23">
        <v>1.2390579116783375E-2</v>
      </c>
      <c r="T122" s="23">
        <v>1.2999999999999999E-2</v>
      </c>
      <c r="U122" s="23">
        <v>0.76800669189067094</v>
      </c>
      <c r="V122" s="23">
        <v>9.254480637282585E-3</v>
      </c>
      <c r="W122" s="23">
        <v>1.205E-2</v>
      </c>
      <c r="X122" s="23">
        <v>0.94652981703185002</v>
      </c>
      <c r="Y122" s="23">
        <v>3.3365176050372709E-2</v>
      </c>
      <c r="Z122" s="23">
        <v>3.5249999999999997E-2</v>
      </c>
      <c r="AA122" s="29">
        <v>1.0237816241246893</v>
      </c>
      <c r="AB122" s="29">
        <v>3.0877253783600629E-2</v>
      </c>
      <c r="AC122" s="29">
        <v>3.0159999999999999E-2</v>
      </c>
      <c r="AD122" s="29">
        <v>0.92409645358030268</v>
      </c>
      <c r="AE122" s="29">
        <v>1.6171687937655298E-2</v>
      </c>
      <c r="AF122" s="29">
        <v>1.7500000000000002E-2</v>
      </c>
      <c r="AG122" s="29">
        <v>1.0071295459679241</v>
      </c>
      <c r="AH122" s="29">
        <v>3.2560498221142986E-2</v>
      </c>
      <c r="AI122" s="29">
        <v>3.2329999999999998E-2</v>
      </c>
      <c r="AJ122" s="35">
        <v>0.61547464422859721</v>
      </c>
      <c r="AK122" s="35">
        <v>6.8009948187259996E-3</v>
      </c>
      <c r="AL122" s="35">
        <v>1.1050000000000001E-2</v>
      </c>
      <c r="AM122" s="35">
        <v>0.69168384346058276</v>
      </c>
      <c r="AN122" s="35">
        <v>8.2656219293539644E-3</v>
      </c>
      <c r="AO122" s="35">
        <v>1.1950000000000001E-2</v>
      </c>
      <c r="AP122" s="35">
        <v>1.1805681048113847</v>
      </c>
      <c r="AQ122" s="35">
        <v>2.126203156765304E-2</v>
      </c>
      <c r="AR122" s="35">
        <v>1.8010000000000002E-2</v>
      </c>
    </row>
    <row r="123" spans="3:44" x14ac:dyDescent="0.25">
      <c r="C123" s="15">
        <v>657900</v>
      </c>
      <c r="D123" s="1">
        <v>1.1976000000000001E-10</v>
      </c>
      <c r="E123" s="1">
        <v>1.1972E-10</v>
      </c>
      <c r="F123">
        <v>1.8630000000000001E-2</v>
      </c>
      <c r="G123" s="13">
        <f t="shared" si="9"/>
        <v>1.1835328665010165</v>
      </c>
      <c r="H123" s="13">
        <f t="shared" si="10"/>
        <v>1.1831375649423987</v>
      </c>
      <c r="I123" s="13">
        <f t="shared" si="11"/>
        <v>1.1833352157217076</v>
      </c>
      <c r="J123" s="14">
        <f t="shared" si="12"/>
        <v>2.2045535068895415E-2</v>
      </c>
      <c r="K123" s="14">
        <f t="shared" si="13"/>
        <v>1.8630000000000001E-2</v>
      </c>
      <c r="N123" s="6">
        <v>657900</v>
      </c>
      <c r="O123" s="6">
        <v>0.85359442060085833</v>
      </c>
      <c r="P123" s="6">
        <v>1.1984465665236052E-2</v>
      </c>
      <c r="Q123" s="6">
        <v>1.404E-2</v>
      </c>
      <c r="R123" s="23">
        <v>0.95539445448384908</v>
      </c>
      <c r="S123" s="23">
        <v>1.2964702747345833E-2</v>
      </c>
      <c r="T123" s="23">
        <v>1.357E-2</v>
      </c>
      <c r="U123" s="23">
        <v>0.7693754235373842</v>
      </c>
      <c r="V123" s="23">
        <v>9.1863425570363668E-3</v>
      </c>
      <c r="W123" s="23">
        <v>1.1939999999999999E-2</v>
      </c>
      <c r="X123" s="23">
        <v>0.94873856449062566</v>
      </c>
      <c r="Y123" s="23">
        <v>3.4942041330189744E-2</v>
      </c>
      <c r="Z123" s="23">
        <v>3.6830000000000002E-2</v>
      </c>
      <c r="AA123" s="29">
        <v>1.0260546080867403</v>
      </c>
      <c r="AB123" s="29">
        <v>3.2720881451886154E-2</v>
      </c>
      <c r="AC123" s="29">
        <v>3.1890000000000002E-2</v>
      </c>
      <c r="AD123" s="29">
        <v>0.92594942963632243</v>
      </c>
      <c r="AE123" s="29">
        <v>1.7083766976790149E-2</v>
      </c>
      <c r="AF123" s="29">
        <v>1.8450000000000001E-2</v>
      </c>
      <c r="AG123" s="29">
        <v>1.0081177998644679</v>
      </c>
      <c r="AH123" s="29">
        <v>3.401389456742715E-2</v>
      </c>
      <c r="AI123" s="29">
        <v>3.3739999999999999E-2</v>
      </c>
      <c r="AJ123" s="35">
        <v>0.61723373616444543</v>
      </c>
      <c r="AK123" s="35">
        <v>7.5240792438445898E-3</v>
      </c>
      <c r="AL123" s="35">
        <v>1.2189999999999999E-2</v>
      </c>
      <c r="AM123" s="35">
        <v>0.69405071154280551</v>
      </c>
      <c r="AN123" s="35">
        <v>8.66869338716964E-3</v>
      </c>
      <c r="AO123" s="35">
        <v>1.2489999999999999E-2</v>
      </c>
      <c r="AP123" s="35">
        <v>1.1833352157217076</v>
      </c>
      <c r="AQ123" s="35">
        <v>2.2045535068895415E-2</v>
      </c>
      <c r="AR123" s="35">
        <v>1.8630000000000001E-2</v>
      </c>
    </row>
    <row r="124" spans="3:44" x14ac:dyDescent="0.25">
      <c r="C124" s="15">
        <v>705500</v>
      </c>
      <c r="D124" s="1">
        <v>1.2009E-10</v>
      </c>
      <c r="E124" s="1">
        <v>1.2004000000000001E-10</v>
      </c>
      <c r="F124">
        <v>1.95E-2</v>
      </c>
      <c r="G124" s="13">
        <f t="shared" si="9"/>
        <v>1.1867941043596115</v>
      </c>
      <c r="H124" s="13">
        <f t="shared" si="10"/>
        <v>1.1862999774113396</v>
      </c>
      <c r="I124" s="13">
        <f t="shared" si="11"/>
        <v>1.1865470408854755</v>
      </c>
      <c r="J124" s="14">
        <f t="shared" si="12"/>
        <v>2.3137667297266771E-2</v>
      </c>
      <c r="K124" s="14">
        <f t="shared" si="13"/>
        <v>1.95E-2</v>
      </c>
      <c r="N124" s="6">
        <v>705500</v>
      </c>
      <c r="O124" s="6">
        <v>0.85566481251411786</v>
      </c>
      <c r="P124" s="6">
        <v>1.2287346707702733E-2</v>
      </c>
      <c r="Q124" s="6">
        <v>1.436E-2</v>
      </c>
      <c r="R124" s="23">
        <v>0.95677800993901052</v>
      </c>
      <c r="S124" s="23">
        <v>1.3375756578947367E-2</v>
      </c>
      <c r="T124" s="23">
        <v>1.3979999999999999E-2</v>
      </c>
      <c r="U124" s="23">
        <v>0.77151005195391908</v>
      </c>
      <c r="V124" s="23">
        <v>9.582154845267676E-3</v>
      </c>
      <c r="W124" s="23">
        <v>1.242E-2</v>
      </c>
      <c r="X124" s="23">
        <v>0.95075460243957532</v>
      </c>
      <c r="Y124" s="23">
        <v>3.7022384218997062E-2</v>
      </c>
      <c r="Z124" s="23">
        <v>3.8940000000000002E-2</v>
      </c>
      <c r="AA124" s="29">
        <v>1.0291676078608538</v>
      </c>
      <c r="AB124" s="29">
        <v>3.4168364580980347E-2</v>
      </c>
      <c r="AC124" s="29">
        <v>3.32E-2</v>
      </c>
      <c r="AD124" s="29">
        <v>0.92806429297492654</v>
      </c>
      <c r="AE124" s="29">
        <v>1.8487040716060537E-2</v>
      </c>
      <c r="AF124" s="29">
        <v>1.992E-2</v>
      </c>
      <c r="AG124" s="29">
        <v>1.0101437203523829</v>
      </c>
      <c r="AH124" s="29">
        <v>3.5627769016828549E-2</v>
      </c>
      <c r="AI124" s="29">
        <v>3.5270000000000003E-2</v>
      </c>
      <c r="AJ124" s="35">
        <v>0.61820222498305855</v>
      </c>
      <c r="AK124" s="35">
        <v>7.5297031002936532E-3</v>
      </c>
      <c r="AL124" s="35">
        <v>1.218E-2</v>
      </c>
      <c r="AM124" s="35">
        <v>0.69528602891348545</v>
      </c>
      <c r="AN124" s="35">
        <v>9.4767485740908063E-3</v>
      </c>
      <c r="AO124" s="35">
        <v>1.363E-2</v>
      </c>
      <c r="AP124" s="35">
        <v>1.1865470408854755</v>
      </c>
      <c r="AQ124" s="35">
        <v>2.3137667297266771E-2</v>
      </c>
      <c r="AR124" s="35">
        <v>1.95E-2</v>
      </c>
    </row>
    <row r="125" spans="3:44" x14ac:dyDescent="0.25">
      <c r="C125" s="15">
        <v>756500</v>
      </c>
      <c r="D125" s="1">
        <v>1.2044E-10</v>
      </c>
      <c r="E125" s="1">
        <v>1.2039000000000001E-10</v>
      </c>
      <c r="F125">
        <v>2.0719999999999999E-2</v>
      </c>
      <c r="G125" s="13">
        <f t="shared" si="9"/>
        <v>1.1902529929975152</v>
      </c>
      <c r="H125" s="13">
        <f t="shared" si="10"/>
        <v>1.1897588660492433</v>
      </c>
      <c r="I125" s="13">
        <f t="shared" si="11"/>
        <v>1.1900059295233794</v>
      </c>
      <c r="J125" s="14">
        <f t="shared" si="12"/>
        <v>2.4656922859724418E-2</v>
      </c>
      <c r="K125" s="14">
        <f t="shared" si="13"/>
        <v>2.0719999999999999E-2</v>
      </c>
      <c r="N125" s="6">
        <v>756500</v>
      </c>
      <c r="O125" s="6">
        <v>0.85785379489496272</v>
      </c>
      <c r="P125" s="6">
        <v>1.286780692342444E-2</v>
      </c>
      <c r="Q125" s="6">
        <v>1.4999999999999999E-2</v>
      </c>
      <c r="R125" s="23">
        <v>0.95979712559295227</v>
      </c>
      <c r="S125" s="23">
        <v>1.36867070109555E-2</v>
      </c>
      <c r="T125" s="23">
        <v>1.426E-2</v>
      </c>
      <c r="U125" s="23">
        <v>0.7732889089676982</v>
      </c>
      <c r="V125" s="23">
        <v>1.0075954483849108E-2</v>
      </c>
      <c r="W125" s="23">
        <v>1.303E-2</v>
      </c>
      <c r="X125" s="23">
        <v>0.95330923876214135</v>
      </c>
      <c r="Y125" s="23">
        <v>3.9181009713124007E-2</v>
      </c>
      <c r="Z125" s="23">
        <v>4.1099999999999998E-2</v>
      </c>
      <c r="AA125" s="29">
        <v>1.0323300203297943</v>
      </c>
      <c r="AB125" s="29">
        <v>3.7040001129433023E-2</v>
      </c>
      <c r="AC125" s="29">
        <v>3.5880000000000002E-2</v>
      </c>
      <c r="AD125" s="29">
        <v>0.93134529591145232</v>
      </c>
      <c r="AE125" s="29">
        <v>1.9195026548735034E-2</v>
      </c>
      <c r="AF125" s="29">
        <v>2.061E-2</v>
      </c>
      <c r="AG125" s="29">
        <v>1.0124661170092613</v>
      </c>
      <c r="AH125" s="29">
        <v>3.7420747684662296E-2</v>
      </c>
      <c r="AI125" s="29">
        <v>3.696E-2</v>
      </c>
      <c r="AJ125" s="35">
        <v>0.62012932008131916</v>
      </c>
      <c r="AK125" s="35">
        <v>8.1547005590693472E-3</v>
      </c>
      <c r="AL125" s="35">
        <v>1.315E-2</v>
      </c>
      <c r="AM125" s="35">
        <v>0.69722794782019437</v>
      </c>
      <c r="AN125" s="35">
        <v>1.0033110169132596E-2</v>
      </c>
      <c r="AO125" s="35">
        <v>1.439E-2</v>
      </c>
      <c r="AP125" s="35">
        <v>1.1900059295233794</v>
      </c>
      <c r="AQ125" s="35">
        <v>2.4656922859724418E-2</v>
      </c>
      <c r="AR125" s="35">
        <v>2.0719999999999999E-2</v>
      </c>
    </row>
    <row r="126" spans="3:44" x14ac:dyDescent="0.25">
      <c r="C126" s="15">
        <v>811100</v>
      </c>
      <c r="D126" s="1">
        <v>1.2088E-10</v>
      </c>
      <c r="E126" s="1">
        <v>1.2082E-10</v>
      </c>
      <c r="F126">
        <v>2.121E-2</v>
      </c>
      <c r="G126" s="13">
        <f t="shared" si="9"/>
        <v>1.1946013101423085</v>
      </c>
      <c r="H126" s="13">
        <f t="shared" si="10"/>
        <v>1.1940083578043821</v>
      </c>
      <c r="I126" s="13">
        <f t="shared" ref="I126:I129" si="14">AVERAGE(G126:H126)</f>
        <v>1.1943048339733453</v>
      </c>
      <c r="J126" s="14">
        <f t="shared" si="12"/>
        <v>2.5331205528574652E-2</v>
      </c>
      <c r="K126" s="14">
        <f t="shared" si="13"/>
        <v>2.121E-2</v>
      </c>
      <c r="N126" s="6">
        <v>811100</v>
      </c>
      <c r="O126" s="6">
        <v>0.86086302800993897</v>
      </c>
      <c r="P126" s="6">
        <v>1.3808242969279421E-2</v>
      </c>
      <c r="Q126" s="6">
        <v>1.6039999999999999E-2</v>
      </c>
      <c r="R126" s="23">
        <v>0.96349319516602661</v>
      </c>
      <c r="S126" s="23">
        <v>1.4413858199683757E-2</v>
      </c>
      <c r="T126" s="23">
        <v>1.4959999999999999E-2</v>
      </c>
      <c r="U126" s="23">
        <v>0.77624378811836459</v>
      </c>
      <c r="V126" s="23">
        <v>1.0673352086627513E-2</v>
      </c>
      <c r="W126" s="23">
        <v>1.375E-2</v>
      </c>
      <c r="X126" s="23">
        <v>0.95653094646487458</v>
      </c>
      <c r="Y126" s="23">
        <v>4.1446485910323017E-2</v>
      </c>
      <c r="Z126" s="23">
        <v>4.333E-2</v>
      </c>
      <c r="AA126" s="29">
        <v>1.034998305850463</v>
      </c>
      <c r="AB126" s="29">
        <v>3.8812436469392364E-2</v>
      </c>
      <c r="AC126" s="29">
        <v>3.7499999999999999E-2</v>
      </c>
      <c r="AD126" s="29">
        <v>0.93395428619832843</v>
      </c>
      <c r="AE126" s="29">
        <v>1.9911905381748359E-2</v>
      </c>
      <c r="AF126" s="29">
        <v>2.1319999999999999E-2</v>
      </c>
      <c r="AG126" s="29">
        <v>1.0159744183419923</v>
      </c>
      <c r="AH126" s="29">
        <v>3.8688305850463067E-2</v>
      </c>
      <c r="AI126" s="29">
        <v>3.8080000000000003E-2</v>
      </c>
      <c r="AJ126" s="35">
        <v>0.62220465326406149</v>
      </c>
      <c r="AK126" s="35">
        <v>8.7606415179579868E-3</v>
      </c>
      <c r="AL126" s="35">
        <v>1.4080000000000001E-2</v>
      </c>
      <c r="AM126" s="35">
        <v>0.69947128416534898</v>
      </c>
      <c r="AN126" s="35">
        <v>1.0485074549638582E-2</v>
      </c>
      <c r="AO126" s="35">
        <v>1.499E-2</v>
      </c>
      <c r="AP126" s="35">
        <v>1.1943048339733453</v>
      </c>
      <c r="AQ126" s="35">
        <v>2.5331205528574652E-2</v>
      </c>
      <c r="AR126" s="35">
        <v>2.121E-2</v>
      </c>
    </row>
    <row r="127" spans="3:44" x14ac:dyDescent="0.25">
      <c r="C127" s="15">
        <v>869700</v>
      </c>
      <c r="D127" s="1">
        <v>1.2141E-10</v>
      </c>
      <c r="E127" s="1">
        <v>1.2135E-10</v>
      </c>
      <c r="F127">
        <v>2.2440000000000002E-2</v>
      </c>
      <c r="G127" s="13">
        <f t="shared" si="9"/>
        <v>1.1998390557939913</v>
      </c>
      <c r="H127" s="13">
        <f t="shared" si="10"/>
        <v>1.1992461034560651</v>
      </c>
      <c r="I127" s="13">
        <f t="shared" si="14"/>
        <v>1.1995425796250281</v>
      </c>
      <c r="J127" s="14">
        <f t="shared" si="12"/>
        <v>2.6917735486785631E-2</v>
      </c>
      <c r="K127" s="14">
        <f t="shared" si="13"/>
        <v>2.2440000000000002E-2</v>
      </c>
      <c r="N127" s="6">
        <v>869700</v>
      </c>
      <c r="O127" s="6">
        <v>0.86445038965439336</v>
      </c>
      <c r="P127" s="6">
        <v>1.4289364940987122E-2</v>
      </c>
      <c r="Q127" s="6">
        <v>1.653E-2</v>
      </c>
      <c r="R127" s="23">
        <v>0.96740173932685791</v>
      </c>
      <c r="S127" s="23">
        <v>1.4897986785633612E-2</v>
      </c>
      <c r="T127" s="23">
        <v>1.54E-2</v>
      </c>
      <c r="U127" s="23">
        <v>0.77961373390557931</v>
      </c>
      <c r="V127" s="23">
        <v>1.1616244635193132E-2</v>
      </c>
      <c r="W127" s="23">
        <v>1.49E-2</v>
      </c>
      <c r="X127" s="23">
        <v>0.96036043031398233</v>
      </c>
      <c r="Y127" s="23">
        <v>4.3725210392195617E-2</v>
      </c>
      <c r="Z127" s="23">
        <v>4.5530000000000001E-2</v>
      </c>
      <c r="AA127" s="29">
        <v>1.0393466229952564</v>
      </c>
      <c r="AB127" s="29">
        <v>4.1262060932911675E-2</v>
      </c>
      <c r="AC127" s="29">
        <v>3.9699999999999999E-2</v>
      </c>
      <c r="AD127" s="29">
        <v>0.93781341766433246</v>
      </c>
      <c r="AE127" s="29">
        <v>2.1063289360740908E-2</v>
      </c>
      <c r="AF127" s="29">
        <v>2.2460000000000001E-2</v>
      </c>
      <c r="AG127" s="29">
        <v>1.0196309577592051</v>
      </c>
      <c r="AH127" s="29">
        <v>4.0479349023040442E-2</v>
      </c>
      <c r="AI127" s="29">
        <v>3.9699999999999999E-2</v>
      </c>
      <c r="AJ127" s="35">
        <v>0.62464564038852499</v>
      </c>
      <c r="AK127" s="35">
        <v>9.1697980009035479E-3</v>
      </c>
      <c r="AL127" s="35">
        <v>1.468E-2</v>
      </c>
      <c r="AM127" s="35">
        <v>0.70276216964084037</v>
      </c>
      <c r="AN127" s="35">
        <v>1.0977145089789926E-2</v>
      </c>
      <c r="AO127" s="35">
        <v>1.562E-2</v>
      </c>
      <c r="AP127" s="35">
        <v>1.1995425796250281</v>
      </c>
      <c r="AQ127" s="35">
        <v>2.6917735486785631E-2</v>
      </c>
      <c r="AR127" s="35">
        <v>2.2440000000000002E-2</v>
      </c>
    </row>
    <row r="128" spans="3:44" x14ac:dyDescent="0.25">
      <c r="C128" s="15">
        <v>932600</v>
      </c>
      <c r="D128" s="1">
        <v>1.2204E-10</v>
      </c>
      <c r="E128" s="1">
        <v>1.2196999999999999E-10</v>
      </c>
      <c r="F128">
        <v>2.3449999999999999E-2</v>
      </c>
      <c r="G128" s="13">
        <f t="shared" si="9"/>
        <v>1.2060650553422183</v>
      </c>
      <c r="H128" s="13">
        <f t="shared" si="10"/>
        <v>1.2053732776146373</v>
      </c>
      <c r="I128" s="13">
        <f t="shared" si="14"/>
        <v>1.2057191664784277</v>
      </c>
      <c r="J128" s="14">
        <f t="shared" si="12"/>
        <v>2.8274114453919127E-2</v>
      </c>
      <c r="K128" s="14">
        <f t="shared" si="13"/>
        <v>2.3449999999999999E-2</v>
      </c>
      <c r="N128" s="6">
        <v>932600</v>
      </c>
      <c r="O128" s="6">
        <v>0.86825516715608764</v>
      </c>
      <c r="P128" s="6">
        <v>1.4873211013383781E-2</v>
      </c>
      <c r="Q128" s="6">
        <v>1.7129999999999999E-2</v>
      </c>
      <c r="R128" s="23">
        <v>0.97204159137113177</v>
      </c>
      <c r="S128" s="23">
        <v>1.5173569241303368E-2</v>
      </c>
      <c r="T128" s="23">
        <v>1.5610000000000001E-2</v>
      </c>
      <c r="U128" s="23">
        <v>0.78318133047210292</v>
      </c>
      <c r="V128" s="23">
        <v>1.1606747317596566E-2</v>
      </c>
      <c r="W128" s="23">
        <v>1.482E-2</v>
      </c>
      <c r="X128" s="23">
        <v>0.96454568556584597</v>
      </c>
      <c r="Y128" s="23">
        <v>4.6520038414840752E-2</v>
      </c>
      <c r="Z128" s="23">
        <v>4.8230000000000002E-2</v>
      </c>
      <c r="AA128" s="29">
        <v>1.0439420036141858</v>
      </c>
      <c r="AB128" s="29">
        <v>4.3793367051615094E-2</v>
      </c>
      <c r="AC128" s="29">
        <v>4.1950000000000001E-2</v>
      </c>
      <c r="AD128" s="29">
        <v>0.94281892365032749</v>
      </c>
      <c r="AE128" s="29">
        <v>2.1977109110289134E-2</v>
      </c>
      <c r="AF128" s="29">
        <v>2.3310000000000001E-2</v>
      </c>
      <c r="AG128" s="29">
        <v>1.0238310368195167</v>
      </c>
      <c r="AH128" s="29">
        <v>4.2673277614637461E-2</v>
      </c>
      <c r="AI128" s="29">
        <v>4.1680000000000002E-2</v>
      </c>
      <c r="AJ128" s="35">
        <v>0.62766969731194933</v>
      </c>
      <c r="AK128" s="35">
        <v>9.5343027021685105E-3</v>
      </c>
      <c r="AL128" s="35">
        <v>1.519E-2</v>
      </c>
      <c r="AM128" s="35">
        <v>0.70604811384684885</v>
      </c>
      <c r="AN128" s="35">
        <v>1.1565068104811383E-2</v>
      </c>
      <c r="AO128" s="35">
        <v>1.6379999999999999E-2</v>
      </c>
      <c r="AP128" s="35">
        <v>1.2057191664784277</v>
      </c>
      <c r="AQ128" s="35">
        <v>2.8274114453919127E-2</v>
      </c>
      <c r="AR128" s="35">
        <v>2.3449999999999999E-2</v>
      </c>
    </row>
    <row r="129" spans="3:44" x14ac:dyDescent="0.25">
      <c r="C129" s="15">
        <v>1000000</v>
      </c>
      <c r="D129" s="1">
        <v>1.2271999999999999E-10</v>
      </c>
      <c r="E129" s="1">
        <v>1.2265000000000001E-10</v>
      </c>
      <c r="F129">
        <v>2.4140000000000002E-2</v>
      </c>
      <c r="G129" s="13">
        <f t="shared" si="9"/>
        <v>1.2127851818387168</v>
      </c>
      <c r="H129" s="13">
        <f t="shared" si="10"/>
        <v>1.2120934041111364</v>
      </c>
      <c r="I129" s="13">
        <f t="shared" si="14"/>
        <v>1.2124392929749266</v>
      </c>
      <c r="J129" s="14">
        <f t="shared" si="12"/>
        <v>2.9268284532414729E-2</v>
      </c>
      <c r="K129" s="14">
        <f t="shared" si="13"/>
        <v>2.4140000000000002E-2</v>
      </c>
      <c r="N129" s="6">
        <v>1000000</v>
      </c>
      <c r="O129" s="6">
        <v>0.87330020329794444</v>
      </c>
      <c r="P129" s="6">
        <v>1.5684471651231081E-2</v>
      </c>
      <c r="Q129" s="6">
        <v>1.796E-2</v>
      </c>
      <c r="R129" s="23">
        <v>0.97830217980573742</v>
      </c>
      <c r="S129" s="23">
        <v>1.6151768988592725E-2</v>
      </c>
      <c r="T129" s="23">
        <v>1.651E-2</v>
      </c>
      <c r="U129" s="23">
        <v>0.78818189518861526</v>
      </c>
      <c r="V129" s="23">
        <v>1.2358692116557487E-2</v>
      </c>
      <c r="W129" s="23">
        <v>1.5679999999999999E-2</v>
      </c>
      <c r="X129" s="23">
        <v>0.97015402642873272</v>
      </c>
      <c r="Y129" s="23">
        <v>4.9555467669979668E-2</v>
      </c>
      <c r="Z129" s="23">
        <v>5.108E-2</v>
      </c>
      <c r="AA129" s="29">
        <v>1.0501680031624123</v>
      </c>
      <c r="AB129" s="29">
        <v>4.6595954300316232E-2</v>
      </c>
      <c r="AC129" s="29">
        <v>4.437E-2</v>
      </c>
      <c r="AD129" s="29">
        <v>0.9483333803930426</v>
      </c>
      <c r="AE129" s="29">
        <v>2.3651434507002484E-2</v>
      </c>
      <c r="AF129" s="29">
        <v>2.494E-2</v>
      </c>
      <c r="AG129" s="29">
        <v>1.029464084029817</v>
      </c>
      <c r="AH129" s="29">
        <v>4.4380196662525413E-2</v>
      </c>
      <c r="AI129" s="29">
        <v>4.3110000000000002E-2</v>
      </c>
      <c r="AJ129" s="35">
        <v>0.63120270499209397</v>
      </c>
      <c r="AK129" s="35">
        <v>1.0036123009374294E-2</v>
      </c>
      <c r="AL129" s="35">
        <v>1.5900000000000001E-2</v>
      </c>
      <c r="AM129" s="35">
        <v>0.71056937542353737</v>
      </c>
      <c r="AN129" s="35">
        <v>1.2378118519878021E-2</v>
      </c>
      <c r="AO129" s="35">
        <v>1.7420000000000001E-2</v>
      </c>
      <c r="AP129" s="35">
        <v>1.2124392929749266</v>
      </c>
      <c r="AQ129" s="35">
        <v>2.9268284532414729E-2</v>
      </c>
      <c r="AR129" s="35">
        <v>2.4140000000000002E-2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225"/>
  <sheetViews>
    <sheetView tabSelected="1" zoomScale="85" zoomScaleNormal="85" workbookViewId="0">
      <selection activeCell="A19" sqref="A19"/>
    </sheetView>
  </sheetViews>
  <sheetFormatPr defaultRowHeight="15" x14ac:dyDescent="0.25"/>
  <cols>
    <col min="1" max="1" width="14.7109375" bestFit="1" customWidth="1"/>
    <col min="4" max="4" width="9" customWidth="1"/>
    <col min="10" max="10" width="14.7109375" bestFit="1" customWidth="1"/>
    <col min="19" max="19" width="15" bestFit="1" customWidth="1"/>
    <col min="27" max="27" width="13.42578125" customWidth="1"/>
    <col min="35" max="35" width="13.42578125" customWidth="1"/>
    <col min="43" max="43" width="13.5703125" customWidth="1"/>
    <col min="51" max="51" width="13.5703125" customWidth="1"/>
    <col min="59" max="59" width="13.5703125" customWidth="1"/>
    <col min="67" max="67" width="13.5703125" customWidth="1"/>
    <col min="75" max="75" width="13.5703125" customWidth="1"/>
    <col min="77" max="80" width="9" style="45"/>
  </cols>
  <sheetData>
    <row r="1" spans="1:81" ht="28.5" customHeight="1" x14ac:dyDescent="0.25">
      <c r="A1" s="47" t="s">
        <v>56</v>
      </c>
      <c r="F1" s="8"/>
      <c r="G1" s="8"/>
      <c r="H1" s="8"/>
      <c r="J1" s="48" t="s">
        <v>59</v>
      </c>
      <c r="O1" s="8"/>
      <c r="P1" s="8"/>
      <c r="Q1" s="8"/>
      <c r="S1" s="48" t="s">
        <v>63</v>
      </c>
      <c r="X1" s="8"/>
      <c r="Y1" s="8"/>
      <c r="AA1" s="48" t="s">
        <v>64</v>
      </c>
      <c r="AF1" s="8"/>
      <c r="AG1" s="8"/>
      <c r="AI1" s="48" t="s">
        <v>65</v>
      </c>
      <c r="AN1" s="5"/>
      <c r="AO1" s="5"/>
      <c r="AQ1" s="55"/>
      <c r="AV1" s="5"/>
      <c r="AW1" s="5"/>
      <c r="AY1" s="55"/>
      <c r="BD1" s="5"/>
      <c r="BE1" s="5"/>
      <c r="BG1" s="55"/>
      <c r="BL1" s="5"/>
      <c r="BM1" s="5"/>
      <c r="BO1" s="36"/>
      <c r="BT1" s="8"/>
      <c r="BU1" s="8"/>
      <c r="BW1" s="36"/>
      <c r="CB1" s="46"/>
      <c r="CC1" s="8"/>
    </row>
    <row r="2" spans="1:81" x14ac:dyDescent="0.25">
      <c r="A2" s="37" t="s">
        <v>32</v>
      </c>
      <c r="C2" s="1"/>
      <c r="D2" s="1"/>
      <c r="F2" s="1"/>
      <c r="G2" s="1"/>
      <c r="J2" s="42" t="s">
        <v>32</v>
      </c>
      <c r="L2" s="1"/>
      <c r="M2" s="1"/>
      <c r="O2" s="1"/>
      <c r="P2" s="1"/>
      <c r="S2" s="42" t="s">
        <v>32</v>
      </c>
      <c r="U2" s="1"/>
      <c r="V2" s="1"/>
      <c r="X2" s="1"/>
      <c r="AA2" s="42" t="s">
        <v>32</v>
      </c>
      <c r="AC2" s="1"/>
      <c r="AD2" s="1"/>
      <c r="AF2" s="1"/>
      <c r="AI2" s="42" t="s">
        <v>32</v>
      </c>
      <c r="AK2" s="1"/>
      <c r="AL2" s="1"/>
      <c r="AN2" s="1"/>
      <c r="AQ2" s="51"/>
      <c r="AS2" s="1"/>
      <c r="AT2" s="1"/>
      <c r="AV2" s="1"/>
      <c r="AY2" s="51"/>
      <c r="BA2" s="1"/>
      <c r="BB2" s="1"/>
      <c r="BD2" s="1"/>
      <c r="BG2" s="51"/>
      <c r="BI2" s="1"/>
      <c r="BJ2" s="1"/>
      <c r="BL2" s="1"/>
      <c r="BO2" s="42"/>
      <c r="BQ2" s="1"/>
      <c r="BR2" s="1"/>
      <c r="BT2" s="1"/>
      <c r="BW2" s="42"/>
    </row>
    <row r="3" spans="1:81" ht="20.25" customHeight="1" x14ac:dyDescent="0.25">
      <c r="A3" s="37">
        <v>12.25</v>
      </c>
      <c r="C3" s="1"/>
      <c r="D3" s="1"/>
      <c r="F3" s="1"/>
      <c r="G3" s="1"/>
      <c r="J3" s="37">
        <v>12.25</v>
      </c>
      <c r="L3" s="1"/>
      <c r="M3" s="1"/>
      <c r="O3" s="1"/>
      <c r="P3" s="1"/>
      <c r="S3" s="37">
        <v>12.25</v>
      </c>
      <c r="U3" s="1"/>
      <c r="V3" s="1"/>
      <c r="X3" s="1"/>
      <c r="AA3" s="37">
        <v>12.25</v>
      </c>
      <c r="AC3" s="1"/>
      <c r="AD3" s="1"/>
      <c r="AF3" s="1"/>
      <c r="AI3" s="37">
        <v>12.25</v>
      </c>
      <c r="AK3" s="1"/>
      <c r="AL3" s="1"/>
      <c r="AN3" s="1"/>
      <c r="AS3" s="1"/>
      <c r="AT3" s="1"/>
      <c r="AV3" s="1"/>
      <c r="BA3" s="1"/>
      <c r="BB3" s="1"/>
      <c r="BD3" s="1"/>
      <c r="BI3" s="1"/>
      <c r="BJ3" s="1"/>
      <c r="BL3" s="1"/>
      <c r="BO3" s="37"/>
      <c r="BQ3" s="1"/>
      <c r="BR3" s="1"/>
      <c r="BT3" s="1"/>
      <c r="BW3" s="37"/>
    </row>
    <row r="4" spans="1:81" ht="16.5" customHeight="1" x14ac:dyDescent="0.25">
      <c r="A4" s="38" t="s">
        <v>51</v>
      </c>
      <c r="C4" s="1"/>
      <c r="D4" s="1"/>
      <c r="F4" s="1"/>
      <c r="G4" s="1"/>
      <c r="J4" s="41" t="s">
        <v>51</v>
      </c>
      <c r="L4" s="1"/>
      <c r="M4" s="1"/>
      <c r="O4" s="1"/>
      <c r="P4" s="1"/>
      <c r="S4" s="41" t="s">
        <v>51</v>
      </c>
      <c r="U4" s="1"/>
      <c r="V4" s="1"/>
      <c r="X4" s="1"/>
      <c r="AA4" s="41" t="s">
        <v>51</v>
      </c>
      <c r="AC4" s="1"/>
      <c r="AD4" s="1"/>
      <c r="AF4" s="1"/>
      <c r="AI4" s="41" t="s">
        <v>51</v>
      </c>
      <c r="AK4" s="1"/>
      <c r="AL4" s="1"/>
      <c r="AN4" s="1"/>
      <c r="AQ4" s="52"/>
      <c r="AS4" s="1"/>
      <c r="AT4" s="1"/>
      <c r="AV4" s="1"/>
      <c r="AY4" s="52"/>
      <c r="BA4" s="1"/>
      <c r="BB4" s="1"/>
      <c r="BD4" s="1"/>
      <c r="BG4" s="52"/>
      <c r="BI4" s="1"/>
      <c r="BJ4" s="1"/>
      <c r="BL4" s="1"/>
      <c r="BO4" s="41"/>
      <c r="BQ4" s="1"/>
      <c r="BR4" s="1"/>
      <c r="BT4" s="1"/>
      <c r="BW4" s="41"/>
    </row>
    <row r="5" spans="1:81" x14ac:dyDescent="0.25">
      <c r="A5" s="39">
        <f>A3*0.0001</f>
        <v>1.225E-3</v>
      </c>
      <c r="C5" s="1"/>
      <c r="D5" s="1"/>
      <c r="F5" s="1"/>
      <c r="G5" s="1"/>
      <c r="J5" s="43">
        <f>J3*0.0001</f>
        <v>1.225E-3</v>
      </c>
      <c r="L5" s="1"/>
      <c r="M5" s="1"/>
      <c r="O5" s="1"/>
      <c r="P5" s="1"/>
      <c r="S5" s="43">
        <f>S3*0.0001</f>
        <v>1.225E-3</v>
      </c>
      <c r="U5" s="1"/>
      <c r="V5" s="1"/>
      <c r="X5" s="1"/>
      <c r="AA5" s="43">
        <f>AA3*0.0001</f>
        <v>1.225E-3</v>
      </c>
      <c r="AC5" s="1"/>
      <c r="AD5" s="1"/>
      <c r="AF5" s="1"/>
      <c r="AI5" s="43">
        <f>AI3*0.0001</f>
        <v>1.225E-3</v>
      </c>
      <c r="AK5" s="1"/>
      <c r="AL5" s="1"/>
      <c r="AN5" s="1"/>
      <c r="AQ5" s="53"/>
      <c r="AS5" s="1"/>
      <c r="AT5" s="1"/>
      <c r="AV5" s="1"/>
      <c r="AY5" s="53"/>
      <c r="BA5" s="1"/>
      <c r="BB5" s="1"/>
      <c r="BD5" s="1"/>
      <c r="BG5" s="53"/>
      <c r="BI5" s="1"/>
      <c r="BJ5" s="1"/>
      <c r="BL5" s="1"/>
      <c r="BO5" s="43"/>
      <c r="BQ5" s="1"/>
      <c r="BR5" s="1"/>
      <c r="BT5" s="1"/>
      <c r="BW5" s="43"/>
    </row>
    <row r="6" spans="1:81" x14ac:dyDescent="0.25">
      <c r="A6" s="37" t="s">
        <v>33</v>
      </c>
      <c r="C6" s="1"/>
      <c r="D6" s="1"/>
      <c r="F6" s="1"/>
      <c r="G6" s="1"/>
      <c r="J6" s="42" t="s">
        <v>33</v>
      </c>
      <c r="L6" s="1"/>
      <c r="M6" s="1"/>
      <c r="O6" s="1"/>
      <c r="P6" s="1"/>
      <c r="S6" s="42" t="s">
        <v>33</v>
      </c>
      <c r="U6" s="1"/>
      <c r="V6" s="1"/>
      <c r="X6" s="1"/>
      <c r="AA6" s="42" t="s">
        <v>33</v>
      </c>
      <c r="AC6" s="1"/>
      <c r="AD6" s="1"/>
      <c r="AF6" s="1"/>
      <c r="AI6" s="42" t="s">
        <v>33</v>
      </c>
      <c r="AK6" s="1"/>
      <c r="AL6" s="1"/>
      <c r="AN6" s="1"/>
      <c r="AQ6" s="51"/>
      <c r="AS6" s="1"/>
      <c r="AT6" s="1"/>
      <c r="AV6" s="1"/>
      <c r="AY6" s="51"/>
      <c r="BA6" s="1"/>
      <c r="BB6" s="1"/>
      <c r="BD6" s="1"/>
      <c r="BG6" s="51"/>
      <c r="BI6" s="1"/>
      <c r="BJ6" s="1"/>
      <c r="BL6" s="1"/>
      <c r="BO6" s="42"/>
      <c r="BQ6" s="1"/>
      <c r="BR6" s="1"/>
      <c r="BT6" s="1"/>
      <c r="BW6" s="42"/>
    </row>
    <row r="7" spans="1:81" x14ac:dyDescent="0.25">
      <c r="A7" s="37">
        <v>50</v>
      </c>
      <c r="C7" s="1"/>
      <c r="D7" s="1"/>
      <c r="F7" s="1"/>
      <c r="G7" s="1"/>
      <c r="J7" s="42">
        <v>50</v>
      </c>
      <c r="L7" s="1"/>
      <c r="M7" s="1"/>
      <c r="O7" s="1"/>
      <c r="P7" s="1"/>
      <c r="S7" s="42">
        <v>50</v>
      </c>
      <c r="U7" s="1"/>
      <c r="V7" s="1"/>
      <c r="X7" s="1"/>
      <c r="AA7" s="42">
        <v>50</v>
      </c>
      <c r="AC7" s="1"/>
      <c r="AD7" s="1"/>
      <c r="AF7" s="1"/>
      <c r="AI7" s="42">
        <v>50</v>
      </c>
      <c r="AK7" s="1"/>
      <c r="AL7" s="1"/>
      <c r="AN7" s="1"/>
      <c r="AQ7" s="51"/>
      <c r="AS7" s="1"/>
      <c r="AT7" s="1"/>
      <c r="AV7" s="1"/>
      <c r="AY7" s="51"/>
      <c r="BA7" s="1"/>
      <c r="BB7" s="1"/>
      <c r="BD7" s="1"/>
      <c r="BG7" s="51"/>
      <c r="BI7" s="1"/>
      <c r="BJ7" s="1"/>
      <c r="BL7" s="1"/>
      <c r="BO7" s="42"/>
      <c r="BQ7" s="1"/>
      <c r="BR7" s="1"/>
      <c r="BT7" s="1"/>
      <c r="BW7" s="42"/>
    </row>
    <row r="8" spans="1:81" x14ac:dyDescent="0.25">
      <c r="A8" s="37" t="s">
        <v>52</v>
      </c>
      <c r="C8" s="1"/>
      <c r="D8" s="1"/>
      <c r="F8" s="1"/>
      <c r="G8" s="1"/>
      <c r="J8" s="42" t="s">
        <v>52</v>
      </c>
      <c r="L8" s="1"/>
      <c r="M8" s="1"/>
      <c r="O8" s="1"/>
      <c r="P8" s="1"/>
      <c r="S8" s="42" t="s">
        <v>52</v>
      </c>
      <c r="U8" s="1"/>
      <c r="V8" s="1"/>
      <c r="X8" s="1"/>
      <c r="AA8" s="42" t="s">
        <v>52</v>
      </c>
      <c r="AC8" s="1"/>
      <c r="AD8" s="1"/>
      <c r="AF8" s="1"/>
      <c r="AI8" s="42" t="s">
        <v>52</v>
      </c>
      <c r="AK8" s="1"/>
      <c r="AL8" s="1"/>
      <c r="AN8" s="1"/>
      <c r="AQ8" s="51"/>
      <c r="AS8" s="1"/>
      <c r="AT8" s="1"/>
      <c r="AV8" s="1"/>
      <c r="AY8" s="51"/>
      <c r="BA8" s="1"/>
      <c r="BB8" s="1"/>
      <c r="BD8" s="1"/>
      <c r="BG8" s="51"/>
      <c r="BI8" s="1"/>
      <c r="BJ8" s="1"/>
      <c r="BL8" s="1"/>
      <c r="BO8" s="42"/>
      <c r="BQ8" s="1"/>
      <c r="BR8" s="1"/>
      <c r="BT8" s="1"/>
      <c r="BW8" s="42"/>
    </row>
    <row r="9" spans="1:81" x14ac:dyDescent="0.25">
      <c r="A9" s="40">
        <f>A7*0.000001</f>
        <v>4.9999999999999996E-5</v>
      </c>
      <c r="C9" s="1"/>
      <c r="D9" s="1"/>
      <c r="F9" s="1"/>
      <c r="G9" s="1"/>
      <c r="J9" s="44">
        <f>J7*0.000001</f>
        <v>4.9999999999999996E-5</v>
      </c>
      <c r="L9" s="1"/>
      <c r="M9" s="1"/>
      <c r="O9" s="1"/>
      <c r="P9" s="1"/>
      <c r="S9" s="44">
        <f>S7*0.000001</f>
        <v>4.9999999999999996E-5</v>
      </c>
      <c r="U9" s="1"/>
      <c r="V9" s="1"/>
      <c r="X9" s="1"/>
      <c r="AA9" s="44">
        <f>AA7*0.000001</f>
        <v>4.9999999999999996E-5</v>
      </c>
      <c r="AC9" s="1"/>
      <c r="AD9" s="1"/>
      <c r="AF9" s="1"/>
      <c r="AI9" s="44">
        <f>AI7*0.000001</f>
        <v>4.9999999999999996E-5</v>
      </c>
      <c r="AK9" s="1"/>
      <c r="AL9" s="1"/>
      <c r="AN9" s="1"/>
      <c r="AQ9" s="54"/>
      <c r="AS9" s="1"/>
      <c r="AT9" s="1"/>
      <c r="AV9" s="1"/>
      <c r="AY9" s="54"/>
      <c r="BA9" s="1"/>
      <c r="BB9" s="1"/>
      <c r="BD9" s="1"/>
      <c r="BG9" s="54"/>
      <c r="BI9" s="1"/>
      <c r="BJ9" s="1"/>
      <c r="BL9" s="1"/>
      <c r="BO9" s="44"/>
      <c r="BQ9" s="1"/>
      <c r="BR9" s="1"/>
      <c r="BT9" s="1"/>
      <c r="BW9" s="44"/>
    </row>
    <row r="10" spans="1:81" x14ac:dyDescent="0.25">
      <c r="A10" s="37"/>
      <c r="C10" s="1"/>
      <c r="D10" s="1"/>
      <c r="F10" s="1"/>
      <c r="G10" s="1"/>
      <c r="J10" s="42"/>
      <c r="L10" s="1"/>
      <c r="M10" s="1"/>
      <c r="O10" s="1"/>
      <c r="P10" s="1"/>
      <c r="S10" s="42"/>
      <c r="U10" s="1"/>
      <c r="V10" s="1"/>
      <c r="X10" s="1"/>
      <c r="AA10" s="42"/>
      <c r="AC10" s="1"/>
      <c r="AD10" s="1"/>
      <c r="AF10" s="1"/>
      <c r="AI10" s="42"/>
      <c r="AK10" s="1"/>
      <c r="AL10" s="1"/>
      <c r="AN10" s="1"/>
      <c r="AQ10" s="51"/>
      <c r="AS10" s="1"/>
      <c r="AT10" s="1"/>
      <c r="AV10" s="1"/>
      <c r="AY10" s="51"/>
      <c r="BA10" s="1"/>
      <c r="BB10" s="1"/>
      <c r="BD10" s="1"/>
      <c r="BG10" s="51"/>
      <c r="BI10" s="1"/>
      <c r="BJ10" s="1"/>
      <c r="BL10" s="1"/>
      <c r="BO10" s="42"/>
      <c r="BQ10" s="1"/>
      <c r="BR10" s="1"/>
      <c r="BT10" s="1"/>
      <c r="BW10" s="42"/>
    </row>
    <row r="11" spans="1:81" x14ac:dyDescent="0.25">
      <c r="A11" s="41" t="s">
        <v>21</v>
      </c>
      <c r="C11" s="1"/>
      <c r="D11" s="1"/>
      <c r="F11" s="1"/>
      <c r="G11" s="1"/>
      <c r="J11" s="41" t="s">
        <v>21</v>
      </c>
      <c r="L11" s="1"/>
      <c r="M11" s="1"/>
      <c r="O11" s="1"/>
      <c r="P11" s="1"/>
      <c r="S11" s="41" t="s">
        <v>21</v>
      </c>
      <c r="U11" s="1"/>
      <c r="V11" s="1"/>
      <c r="X11" s="1"/>
      <c r="AA11" s="41" t="s">
        <v>21</v>
      </c>
      <c r="AC11" s="1"/>
      <c r="AD11" s="1"/>
      <c r="AF11" s="1"/>
      <c r="AI11" s="41" t="s">
        <v>21</v>
      </c>
      <c r="AK11" s="1"/>
      <c r="AL11" s="1"/>
      <c r="AN11" s="1"/>
      <c r="AQ11" s="52"/>
      <c r="AS11" s="1"/>
      <c r="AT11" s="1"/>
      <c r="AV11" s="1"/>
      <c r="AY11" s="52"/>
      <c r="BA11" s="1"/>
      <c r="BB11" s="1"/>
      <c r="BD11" s="1"/>
      <c r="BG11" s="52"/>
      <c r="BI11" s="1"/>
      <c r="BJ11" s="1"/>
      <c r="BL11" s="1"/>
      <c r="BO11" s="41"/>
      <c r="BQ11" s="1"/>
      <c r="BR11" s="1"/>
      <c r="BT11" s="1"/>
      <c r="BW11" s="41"/>
    </row>
    <row r="12" spans="1:81" x14ac:dyDescent="0.25">
      <c r="A12" s="41">
        <v>8.8539999999999992E-12</v>
      </c>
      <c r="C12" s="1"/>
      <c r="D12" s="1"/>
      <c r="F12" s="1"/>
      <c r="G12" s="1"/>
      <c r="J12" s="41">
        <v>8.8539999999999992E-12</v>
      </c>
      <c r="L12" s="1"/>
      <c r="M12" s="1"/>
      <c r="O12" s="1"/>
      <c r="P12" s="1"/>
      <c r="S12" s="41">
        <v>8.8539999999999992E-12</v>
      </c>
      <c r="U12" s="1"/>
      <c r="V12" s="1"/>
      <c r="X12" s="1"/>
      <c r="AA12" s="41">
        <v>8.8539999999999992E-12</v>
      </c>
      <c r="AC12" s="1"/>
      <c r="AD12" s="1"/>
      <c r="AF12" s="1"/>
      <c r="AI12" s="41">
        <v>8.8539999999999992E-12</v>
      </c>
      <c r="AK12" s="1"/>
      <c r="AL12" s="1"/>
      <c r="AN12" s="1"/>
      <c r="AQ12" s="52"/>
      <c r="AS12" s="1"/>
      <c r="AT12" s="1"/>
      <c r="AV12" s="1"/>
      <c r="AY12" s="52"/>
      <c r="BA12" s="1"/>
      <c r="BB12" s="1"/>
      <c r="BD12" s="1"/>
      <c r="BG12" s="52"/>
      <c r="BI12" s="1"/>
      <c r="BJ12" s="1"/>
      <c r="BL12" s="1"/>
      <c r="BO12" s="41"/>
      <c r="BQ12" s="1"/>
      <c r="BR12" s="1"/>
      <c r="BT12" s="1"/>
      <c r="BW12" s="41"/>
    </row>
    <row r="13" spans="1:81" x14ac:dyDescent="0.25">
      <c r="A13" s="41" t="s">
        <v>22</v>
      </c>
      <c r="C13" s="1"/>
      <c r="D13" s="1"/>
      <c r="F13" s="1"/>
      <c r="G13" s="1"/>
      <c r="J13" s="41" t="s">
        <v>22</v>
      </c>
      <c r="L13" s="1"/>
      <c r="M13" s="1"/>
      <c r="O13" s="1"/>
      <c r="P13" s="1"/>
      <c r="S13" s="41" t="s">
        <v>22</v>
      </c>
      <c r="U13" s="1"/>
      <c r="V13" s="1"/>
      <c r="X13" s="1"/>
      <c r="AA13" s="41" t="s">
        <v>22</v>
      </c>
      <c r="AC13" s="1"/>
      <c r="AD13" s="1"/>
      <c r="AF13" s="1"/>
      <c r="AI13" s="41" t="s">
        <v>22</v>
      </c>
      <c r="AK13" s="1"/>
      <c r="AL13" s="1"/>
      <c r="AN13" s="1"/>
      <c r="AQ13" s="52"/>
      <c r="AS13" s="1"/>
      <c r="AT13" s="1"/>
      <c r="AV13" s="1"/>
      <c r="AY13" s="52"/>
      <c r="BA13" s="1"/>
      <c r="BB13" s="1"/>
      <c r="BD13" s="1"/>
      <c r="BG13" s="52"/>
      <c r="BI13" s="1"/>
      <c r="BJ13" s="1"/>
      <c r="BL13" s="1"/>
      <c r="BO13" s="41"/>
      <c r="BQ13" s="1"/>
      <c r="BR13" s="1"/>
      <c r="BT13" s="1"/>
      <c r="BW13" s="41"/>
    </row>
    <row r="14" spans="1:81" x14ac:dyDescent="0.25">
      <c r="C14" s="1"/>
      <c r="D14" s="1"/>
      <c r="F14" s="1"/>
      <c r="G14" s="1"/>
      <c r="L14" s="1"/>
      <c r="M14" s="1"/>
      <c r="O14" s="1"/>
      <c r="P14" s="1"/>
      <c r="U14" s="1"/>
      <c r="V14" s="1"/>
      <c r="X14" s="1"/>
      <c r="AC14" s="1"/>
      <c r="AD14" s="1"/>
      <c r="AF14" s="1"/>
      <c r="AK14" s="1"/>
      <c r="AL14" s="1"/>
      <c r="AN14" s="1"/>
      <c r="AS14" s="1"/>
      <c r="AT14" s="1"/>
      <c r="AV14" s="1"/>
      <c r="BA14" s="1"/>
      <c r="BB14" s="1"/>
      <c r="BD14" s="1"/>
      <c r="BI14" s="1"/>
      <c r="BJ14" s="1"/>
      <c r="BL14" s="1"/>
      <c r="BQ14" s="1"/>
      <c r="BR14" s="1"/>
      <c r="BT14" s="1"/>
    </row>
    <row r="15" spans="1:81" x14ac:dyDescent="0.25">
      <c r="C15" s="1"/>
      <c r="D15" s="1"/>
      <c r="F15" s="1"/>
      <c r="G15" s="1"/>
      <c r="L15" s="1"/>
      <c r="M15" s="1"/>
      <c r="O15" s="1"/>
      <c r="P15" s="1"/>
      <c r="U15" s="1"/>
      <c r="V15" s="1"/>
      <c r="X15" s="1"/>
      <c r="AC15" s="1"/>
      <c r="AD15" s="1"/>
      <c r="AF15" s="1"/>
      <c r="AK15" s="1"/>
      <c r="AL15" s="1"/>
      <c r="AN15" s="1"/>
      <c r="AS15" s="1"/>
      <c r="AT15" s="1"/>
      <c r="AV15" s="1"/>
      <c r="BA15" s="1"/>
      <c r="BB15" s="1"/>
      <c r="BD15" s="1"/>
      <c r="BI15" s="1"/>
      <c r="BJ15" s="1"/>
      <c r="BL15" s="1"/>
      <c r="BQ15" s="1"/>
      <c r="BR15" s="1"/>
      <c r="BT15" s="1"/>
    </row>
    <row r="16" spans="1:81" x14ac:dyDescent="0.25">
      <c r="C16" s="1"/>
      <c r="D16" s="1"/>
      <c r="F16" s="1"/>
      <c r="G16" s="1"/>
      <c r="L16" s="1"/>
      <c r="M16" s="1"/>
      <c r="O16" s="1"/>
      <c r="P16" s="1"/>
      <c r="U16" s="1"/>
      <c r="V16" s="1"/>
      <c r="X16" s="1"/>
      <c r="AC16" s="1"/>
      <c r="AD16" s="1"/>
      <c r="AF16" s="1"/>
      <c r="AK16" s="1"/>
      <c r="AL16" s="1"/>
      <c r="AN16" s="1"/>
      <c r="AS16" s="1"/>
      <c r="AT16" s="1"/>
      <c r="AV16" s="1"/>
      <c r="BA16" s="1"/>
      <c r="BB16" s="1"/>
      <c r="BD16" s="1"/>
      <c r="BI16" s="1"/>
      <c r="BJ16" s="1"/>
      <c r="BL16" s="1"/>
      <c r="BQ16" s="1"/>
      <c r="BR16" s="1"/>
      <c r="BT16" s="1"/>
    </row>
    <row r="17" spans="2:72" x14ac:dyDescent="0.25">
      <c r="C17" s="1"/>
      <c r="D17" s="1"/>
      <c r="F17" s="1"/>
      <c r="G17" s="1"/>
      <c r="L17" s="1"/>
      <c r="M17" s="1"/>
      <c r="O17" s="1"/>
      <c r="P17" s="1"/>
      <c r="U17" s="1"/>
      <c r="V17" s="1"/>
      <c r="X17" s="1"/>
      <c r="AC17" s="1"/>
      <c r="AD17" s="1"/>
      <c r="AF17" s="1"/>
      <c r="AK17" s="1"/>
      <c r="AL17" s="1"/>
      <c r="AN17" s="1"/>
      <c r="AS17" s="1"/>
      <c r="AT17" s="1"/>
      <c r="AV17" s="1"/>
      <c r="BA17" s="1"/>
      <c r="BB17" s="1"/>
      <c r="BD17" s="1"/>
      <c r="BI17" s="1"/>
      <c r="BJ17" s="1"/>
      <c r="BL17" s="1"/>
      <c r="BQ17" s="1"/>
      <c r="BR17" s="1"/>
      <c r="BT17" s="1"/>
    </row>
    <row r="18" spans="2:72" x14ac:dyDescent="0.25">
      <c r="C18" s="1"/>
      <c r="D18" s="1"/>
      <c r="F18" s="1"/>
      <c r="G18" s="1"/>
      <c r="L18" s="1"/>
      <c r="M18" s="1"/>
      <c r="O18" s="1"/>
      <c r="P18" s="1"/>
      <c r="U18" s="1"/>
      <c r="V18" s="1"/>
      <c r="X18" s="1"/>
      <c r="AC18" s="1"/>
      <c r="AD18" s="1"/>
      <c r="AF18" s="1"/>
      <c r="AK18" s="1"/>
      <c r="AL18" s="1"/>
      <c r="AN18" s="1"/>
      <c r="AS18" s="1"/>
      <c r="AT18" s="1"/>
      <c r="AV18" s="1"/>
      <c r="BA18" s="1"/>
      <c r="BB18" s="1"/>
      <c r="BD18" s="1"/>
      <c r="BI18" s="1"/>
      <c r="BJ18" s="1"/>
      <c r="BL18" s="1"/>
      <c r="BQ18" s="1"/>
      <c r="BR18" s="1"/>
      <c r="BT18" s="1"/>
    </row>
    <row r="19" spans="2:72" x14ac:dyDescent="0.25">
      <c r="C19" s="1"/>
      <c r="D19" s="1"/>
      <c r="F19" s="1"/>
      <c r="G19" s="1"/>
      <c r="L19" s="1"/>
      <c r="M19" s="1"/>
      <c r="O19" s="1"/>
      <c r="P19" s="1"/>
      <c r="U19" s="1"/>
      <c r="V19" s="1"/>
      <c r="X19" s="1"/>
      <c r="AC19" s="1"/>
      <c r="AD19" s="1"/>
      <c r="AF19" s="1"/>
      <c r="AK19" s="1"/>
      <c r="AL19" s="1"/>
      <c r="AN19" s="1"/>
      <c r="AS19" s="1"/>
      <c r="AT19" s="1"/>
      <c r="AV19" s="1"/>
      <c r="BA19" s="1"/>
      <c r="BB19" s="1"/>
      <c r="BD19" s="1"/>
      <c r="BI19" s="1"/>
      <c r="BJ19" s="1"/>
      <c r="BL19" s="1"/>
      <c r="BQ19" s="1"/>
      <c r="BR19" s="1"/>
      <c r="BT19" s="1"/>
    </row>
    <row r="20" spans="2:72" x14ac:dyDescent="0.25">
      <c r="C20" s="1"/>
      <c r="D20" s="1"/>
      <c r="F20" s="1"/>
      <c r="G20" s="1"/>
      <c r="L20" s="1"/>
      <c r="M20" s="1"/>
      <c r="O20" s="1"/>
      <c r="P20" s="1"/>
      <c r="U20" s="1"/>
      <c r="V20" s="1"/>
      <c r="X20" s="1"/>
      <c r="AC20" s="1"/>
      <c r="AD20" s="1"/>
      <c r="AF20" s="1"/>
      <c r="AK20" s="1"/>
      <c r="AL20" s="1"/>
      <c r="AN20" s="1"/>
      <c r="AS20" s="1"/>
      <c r="AT20" s="1"/>
      <c r="AV20" s="1"/>
      <c r="BA20" s="1"/>
      <c r="BB20" s="1"/>
      <c r="BD20" s="1"/>
      <c r="BI20" s="1"/>
      <c r="BJ20" s="1"/>
      <c r="BL20" s="1"/>
      <c r="BQ20" s="1"/>
      <c r="BR20" s="1"/>
      <c r="BT20" s="1"/>
    </row>
    <row r="21" spans="2:72" x14ac:dyDescent="0.25">
      <c r="C21" s="1"/>
      <c r="D21" s="1"/>
      <c r="F21" s="1"/>
      <c r="G21" s="1"/>
      <c r="L21" s="1"/>
      <c r="M21" s="1"/>
      <c r="O21" s="1"/>
      <c r="P21" s="1"/>
      <c r="U21" s="1"/>
      <c r="V21" s="1"/>
      <c r="X21" s="1"/>
      <c r="AC21" s="1"/>
      <c r="AD21" s="1"/>
      <c r="AF21" s="1"/>
      <c r="AK21" s="1"/>
      <c r="AL21" s="1"/>
      <c r="AN21" s="1"/>
      <c r="AS21" s="1"/>
      <c r="AT21" s="1"/>
      <c r="AV21" s="1"/>
      <c r="BA21" s="1"/>
      <c r="BB21" s="1"/>
      <c r="BD21" s="1"/>
      <c r="BI21" s="1"/>
      <c r="BJ21" s="1"/>
      <c r="BL21" s="1"/>
      <c r="BQ21" s="1"/>
      <c r="BR21" s="1"/>
      <c r="BT21" s="1"/>
    </row>
    <row r="22" spans="2:72" x14ac:dyDescent="0.25">
      <c r="C22" s="50" t="s">
        <v>57</v>
      </c>
      <c r="D22" s="1"/>
      <c r="F22" s="1"/>
      <c r="G22" s="1"/>
      <c r="L22" s="1"/>
      <c r="M22" s="50" t="s">
        <v>58</v>
      </c>
      <c r="O22" s="1"/>
      <c r="P22" s="1"/>
      <c r="U22" s="45" t="s">
        <v>66</v>
      </c>
      <c r="V22" s="50" t="s">
        <v>60</v>
      </c>
      <c r="X22" s="1"/>
      <c r="AC22" s="1"/>
      <c r="AD22" s="45" t="s">
        <v>67</v>
      </c>
      <c r="AE22" s="50" t="s">
        <v>61</v>
      </c>
      <c r="AF22" s="1"/>
      <c r="AK22" s="1"/>
      <c r="AL22" s="1"/>
      <c r="AM22" t="s">
        <v>68</v>
      </c>
      <c r="AN22" s="50" t="s">
        <v>62</v>
      </c>
      <c r="AS22" s="1"/>
      <c r="AT22" s="45"/>
      <c r="AV22" s="1"/>
      <c r="BA22" s="1"/>
      <c r="BB22" s="1"/>
      <c r="BD22" s="1"/>
      <c r="BI22" s="1"/>
      <c r="BJ22" s="1"/>
      <c r="BL22" s="1"/>
      <c r="BQ22" s="1"/>
      <c r="BR22" s="1"/>
      <c r="BT22" s="1"/>
    </row>
    <row r="23" spans="2:72" x14ac:dyDescent="0.25">
      <c r="C23" s="1"/>
      <c r="D23" s="1"/>
      <c r="F23" s="1"/>
      <c r="G23" s="1"/>
      <c r="L23" s="1"/>
      <c r="M23" s="1"/>
      <c r="O23" s="1"/>
      <c r="P23" s="1"/>
      <c r="U23" s="1"/>
      <c r="V23" s="1"/>
      <c r="X23" s="1"/>
      <c r="AC23" s="1"/>
      <c r="AD23" s="1"/>
      <c r="AF23" s="1"/>
      <c r="AK23" s="1"/>
      <c r="AL23" s="1"/>
      <c r="AN23" s="50"/>
      <c r="AS23" s="1"/>
      <c r="AT23" s="1"/>
      <c r="AV23" s="1"/>
      <c r="BA23" s="1"/>
      <c r="BB23" s="1"/>
      <c r="BD23" s="1"/>
      <c r="BI23" s="1"/>
      <c r="BJ23" s="1"/>
      <c r="BL23" s="1"/>
      <c r="BQ23" s="1"/>
      <c r="BR23" s="1"/>
      <c r="BT23" s="1"/>
    </row>
    <row r="24" spans="2:72" x14ac:dyDescent="0.25">
      <c r="B24" t="s">
        <v>53</v>
      </c>
      <c r="C24" t="s">
        <v>54</v>
      </c>
      <c r="D24" t="s">
        <v>55</v>
      </c>
      <c r="E24" t="s">
        <v>2</v>
      </c>
      <c r="F24" s="8" t="s">
        <v>50</v>
      </c>
      <c r="G24" s="8"/>
      <c r="H24" s="8" t="s">
        <v>37</v>
      </c>
      <c r="K24" t="s">
        <v>53</v>
      </c>
      <c r="L24" t="s">
        <v>54</v>
      </c>
      <c r="M24" t="s">
        <v>55</v>
      </c>
      <c r="N24" t="s">
        <v>2</v>
      </c>
      <c r="O24" s="8" t="s">
        <v>50</v>
      </c>
      <c r="P24" s="8"/>
      <c r="Q24" s="8" t="s">
        <v>37</v>
      </c>
      <c r="T24" t="s">
        <v>53</v>
      </c>
      <c r="U24" t="s">
        <v>54</v>
      </c>
      <c r="V24" t="s">
        <v>55</v>
      </c>
      <c r="W24" t="s">
        <v>2</v>
      </c>
      <c r="X24" s="8" t="s">
        <v>50</v>
      </c>
      <c r="Y24" s="8" t="s">
        <v>37</v>
      </c>
      <c r="AB24" t="s">
        <v>53</v>
      </c>
      <c r="AC24" t="s">
        <v>54</v>
      </c>
      <c r="AD24" t="s">
        <v>55</v>
      </c>
      <c r="AE24" t="s">
        <v>2</v>
      </c>
      <c r="AF24" s="8" t="s">
        <v>50</v>
      </c>
      <c r="AG24" s="8" t="s">
        <v>37</v>
      </c>
      <c r="AJ24" t="s">
        <v>53</v>
      </c>
      <c r="AK24" t="s">
        <v>54</v>
      </c>
      <c r="AL24" t="s">
        <v>55</v>
      </c>
      <c r="AM24" t="s">
        <v>2</v>
      </c>
      <c r="AN24" s="8" t="s">
        <v>50</v>
      </c>
      <c r="AO24" s="8" t="s">
        <v>37</v>
      </c>
      <c r="AV24" s="5"/>
      <c r="AW24" s="5"/>
      <c r="BD24" s="5"/>
      <c r="BE24" s="5"/>
      <c r="BI24" s="1"/>
      <c r="BJ24" s="1"/>
      <c r="BL24" s="1"/>
      <c r="BQ24" s="1"/>
      <c r="BR24" s="1"/>
      <c r="BT24" s="1"/>
    </row>
    <row r="25" spans="2:72" x14ac:dyDescent="0.25">
      <c r="B25">
        <v>1000</v>
      </c>
      <c r="C25" s="1">
        <v>1.5025066666666669E-10</v>
      </c>
      <c r="D25" s="1">
        <v>1.5024866666666667E-10</v>
      </c>
      <c r="E25">
        <v>4.7600000000000003E-3</v>
      </c>
      <c r="F25" s="1">
        <f t="shared" ref="F25:F27" si="0">(C25*A$9)/(A$12*A$5)</f>
        <v>0.69264516287653544</v>
      </c>
      <c r="G25" s="1">
        <f>F25+0.01</f>
        <v>0.70264516287653545</v>
      </c>
      <c r="H25">
        <f t="shared" ref="H25:H88" si="1">E25</f>
        <v>4.7600000000000003E-3</v>
      </c>
      <c r="I25">
        <f>H25+0.0015</f>
        <v>6.2599999999999999E-3</v>
      </c>
      <c r="K25">
        <v>1000</v>
      </c>
      <c r="L25" s="1">
        <v>9.6770933333333322E-11</v>
      </c>
      <c r="M25" s="1">
        <v>9.6769033333333337E-11</v>
      </c>
      <c r="N25">
        <v>7.9100000000000004E-3</v>
      </c>
      <c r="O25" s="1">
        <f>(L25*J$9)/(J$12*J$5)</f>
        <v>0.44610729767398261</v>
      </c>
      <c r="P25" s="1">
        <f>O25+0.01</f>
        <v>0.45610729767398261</v>
      </c>
      <c r="Q25">
        <f t="shared" ref="Q25:Q26" si="2">N25</f>
        <v>7.9100000000000004E-3</v>
      </c>
      <c r="R25">
        <f>Q25+0.00015</f>
        <v>8.0600000000000012E-3</v>
      </c>
      <c r="T25">
        <v>1000</v>
      </c>
      <c r="U25" s="1">
        <v>9.5454933333333342E-11</v>
      </c>
      <c r="V25" s="1">
        <v>9.5452899999999998E-11</v>
      </c>
      <c r="W25">
        <v>6.0200000000000002E-3</v>
      </c>
      <c r="X25" s="1">
        <f t="shared" ref="X25:X26" si="3">(U25*S$9)/(S$12*S$5)</f>
        <v>0.44004062885601503</v>
      </c>
      <c r="Y25">
        <f t="shared" ref="Y25:Y27" si="4">W25</f>
        <v>6.0200000000000002E-3</v>
      </c>
      <c r="AB25">
        <v>1000</v>
      </c>
      <c r="AC25" s="1">
        <v>1.4886300000000002E-10</v>
      </c>
      <c r="AD25" s="1">
        <v>1.4885900000000001E-10</v>
      </c>
      <c r="AE25">
        <v>6.9499999999999996E-3</v>
      </c>
      <c r="AF25" s="1">
        <f>(AC25*AA$9)/(AA$12*AA$5)</f>
        <v>0.68624811569082134</v>
      </c>
      <c r="AG25">
        <f>AE25</f>
        <v>6.9499999999999996E-3</v>
      </c>
      <c r="AJ25">
        <v>1000</v>
      </c>
      <c r="AK25" s="1">
        <v>2.6925200000000004E-10</v>
      </c>
      <c r="AL25" s="1">
        <v>2.6831166666666667E-10</v>
      </c>
      <c r="AM25">
        <v>6.5700000000000003E-3</v>
      </c>
      <c r="AN25" s="1">
        <f>(AK25*AI$9)/(AI$12*AI$5)</f>
        <v>1.2412330642670444</v>
      </c>
      <c r="AO25">
        <f>AM25</f>
        <v>6.5700000000000003E-3</v>
      </c>
      <c r="AS25" s="1"/>
      <c r="AT25" s="1"/>
      <c r="AV25" s="1"/>
      <c r="BA25" s="1"/>
      <c r="BB25" s="1"/>
      <c r="BD25" s="1"/>
      <c r="BI25" s="1"/>
      <c r="BJ25" s="1"/>
      <c r="BL25" s="1"/>
      <c r="BQ25" s="1"/>
      <c r="BR25" s="1"/>
      <c r="BT25" s="1"/>
    </row>
    <row r="26" spans="2:72" x14ac:dyDescent="0.25">
      <c r="B26">
        <v>5995</v>
      </c>
      <c r="C26" s="1">
        <v>1.4975266666666668E-10</v>
      </c>
      <c r="D26" s="1">
        <v>1.4975033333333332E-10</v>
      </c>
      <c r="E26">
        <v>4.7299999999999998E-3</v>
      </c>
      <c r="F26" s="1">
        <f t="shared" si="0"/>
        <v>0.69034941738159017</v>
      </c>
      <c r="G26" s="1">
        <f t="shared" ref="G26:G89" si="5">F26+0.01</f>
        <v>0.70034941738159018</v>
      </c>
      <c r="H26">
        <f t="shared" si="1"/>
        <v>4.7299999999999998E-3</v>
      </c>
      <c r="I26">
        <f t="shared" ref="I26:I89" si="6">H26+0.0015</f>
        <v>6.2299999999999994E-3</v>
      </c>
      <c r="K26">
        <v>5995</v>
      </c>
      <c r="L26" s="1">
        <v>9.6429100000000007E-11</v>
      </c>
      <c r="M26" s="1">
        <v>9.64279E-11</v>
      </c>
      <c r="N26">
        <v>6.94E-3</v>
      </c>
      <c r="O26" s="1">
        <f>(L26*J$9)/(J$12*J$5)</f>
        <v>0.44453146969201063</v>
      </c>
      <c r="P26" s="1">
        <f t="shared" ref="P26:P89" si="7">O26+0.01</f>
        <v>0.45453146969201064</v>
      </c>
      <c r="Q26">
        <f t="shared" si="2"/>
        <v>6.94E-3</v>
      </c>
      <c r="R26">
        <f t="shared" ref="R26:R89" si="8">Q26+0.00015</f>
        <v>7.0899999999999999E-3</v>
      </c>
      <c r="T26">
        <v>5995</v>
      </c>
      <c r="U26" s="1">
        <v>9.5085500000000005E-11</v>
      </c>
      <c r="V26" s="1">
        <v>9.5083999999999992E-11</v>
      </c>
      <c r="W26">
        <v>5.5199999999999997E-3</v>
      </c>
      <c r="X26" s="1">
        <f t="shared" si="3"/>
        <v>0.43833756678637126</v>
      </c>
      <c r="Y26">
        <f t="shared" si="4"/>
        <v>5.5199999999999997E-3</v>
      </c>
      <c r="AB26">
        <v>5995</v>
      </c>
      <c r="AC26" s="1">
        <v>1.4811966666666666E-10</v>
      </c>
      <c r="AD26" s="1">
        <v>1.4811566666666667E-10</v>
      </c>
      <c r="AE26">
        <v>6.13E-3</v>
      </c>
      <c r="AF26" s="1">
        <f t="shared" ref="AF26:AF27" si="9">(AC26*AA$9)/(AA$12*AA$5)</f>
        <v>0.68282140052768348</v>
      </c>
      <c r="AG26">
        <f>AE26</f>
        <v>6.13E-3</v>
      </c>
      <c r="AJ26">
        <v>5995</v>
      </c>
      <c r="AK26" s="1">
        <v>2.5347233333333334E-10</v>
      </c>
      <c r="AL26" s="1">
        <v>2.5274633333333332E-10</v>
      </c>
      <c r="AM26">
        <v>6.2300000000000003E-3</v>
      </c>
      <c r="AN26" s="1">
        <f t="shared" ref="AN26:AN89" si="10">(AK26*AI$9)/(AI$12*AI$5)</f>
        <v>1.168489894263556</v>
      </c>
      <c r="AO26">
        <f>AM26</f>
        <v>6.2300000000000003E-3</v>
      </c>
      <c r="AS26" s="1"/>
      <c r="AT26" s="1"/>
      <c r="AV26" s="1"/>
      <c r="BA26" s="1"/>
      <c r="BB26" s="1"/>
      <c r="BD26" s="1"/>
      <c r="BI26" s="1"/>
      <c r="BJ26" s="1"/>
      <c r="BL26" s="1"/>
      <c r="BQ26" s="1"/>
      <c r="BR26" s="1"/>
      <c r="BT26" s="1"/>
    </row>
    <row r="27" spans="2:72" x14ac:dyDescent="0.25">
      <c r="B27">
        <v>10990</v>
      </c>
      <c r="C27" s="1">
        <v>1.4959166666666667E-10</v>
      </c>
      <c r="D27" s="1">
        <v>1.4958933333333333E-10</v>
      </c>
      <c r="E27">
        <v>5.4599999999999996E-3</v>
      </c>
      <c r="F27" s="1">
        <f t="shared" si="0"/>
        <v>0.68960721853683882</v>
      </c>
      <c r="G27" s="1">
        <f t="shared" si="5"/>
        <v>0.69960721853683883</v>
      </c>
      <c r="H27">
        <f t="shared" si="1"/>
        <v>5.4599999999999996E-3</v>
      </c>
      <c r="I27">
        <f t="shared" si="6"/>
        <v>6.9599999999999992E-3</v>
      </c>
      <c r="K27">
        <v>10990</v>
      </c>
      <c r="L27" s="1">
        <v>9.6326799999999993E-11</v>
      </c>
      <c r="M27" s="1">
        <v>9.6325233333333327E-11</v>
      </c>
      <c r="N27">
        <v>6.7200000000000003E-3</v>
      </c>
      <c r="O27" s="1">
        <f t="shared" ref="O27" si="11">(L27*J$9)/(J$12*J$5)</f>
        <v>0.44405987378009704</v>
      </c>
      <c r="P27" s="1">
        <f t="shared" si="7"/>
        <v>0.45405987378009705</v>
      </c>
      <c r="Q27">
        <f t="shared" ref="Q27" si="12">N27</f>
        <v>6.7200000000000003E-3</v>
      </c>
      <c r="R27">
        <f t="shared" si="8"/>
        <v>6.8700000000000002E-3</v>
      </c>
      <c r="T27">
        <v>10990</v>
      </c>
      <c r="U27" s="1">
        <v>9.4955033333333323E-11</v>
      </c>
      <c r="V27" s="1">
        <v>9.4953166666666665E-11</v>
      </c>
      <c r="W27">
        <v>5.94E-3</v>
      </c>
      <c r="X27" s="1">
        <f t="shared" ref="X27" si="13">(U27*S$9)/(S$12*S$5)</f>
        <v>0.43773612449271548</v>
      </c>
      <c r="Y27">
        <f t="shared" si="4"/>
        <v>5.94E-3</v>
      </c>
      <c r="AB27">
        <v>10990</v>
      </c>
      <c r="AC27" s="1">
        <v>1.4786499999999999E-10</v>
      </c>
      <c r="AD27" s="1">
        <v>1.4785966666666668E-10</v>
      </c>
      <c r="AE27">
        <v>6.6899999999999998E-3</v>
      </c>
      <c r="AF27" s="1">
        <f t="shared" si="9"/>
        <v>0.68164740483950526</v>
      </c>
      <c r="AG27">
        <f t="shared" ref="AG27" si="14">AE27</f>
        <v>6.6899999999999998E-3</v>
      </c>
      <c r="AJ27">
        <v>10990</v>
      </c>
      <c r="AK27" s="1">
        <v>2.48462E-10</v>
      </c>
      <c r="AL27" s="1">
        <v>2.4776699999999999E-10</v>
      </c>
      <c r="AM27">
        <v>6.8500000000000002E-3</v>
      </c>
      <c r="AN27" s="1">
        <f t="shared" si="10"/>
        <v>1.1453926047491507</v>
      </c>
      <c r="AO27">
        <f t="shared" ref="AO27:AO90" si="15">AM27</f>
        <v>6.8500000000000002E-3</v>
      </c>
      <c r="AS27" s="1"/>
      <c r="AT27" s="1"/>
      <c r="AV27" s="1"/>
      <c r="BA27" s="1"/>
      <c r="BB27" s="1"/>
      <c r="BD27" s="1"/>
      <c r="BI27" s="1"/>
      <c r="BJ27" s="1"/>
      <c r="BL27" s="1"/>
      <c r="BQ27" s="1"/>
      <c r="BR27" s="1"/>
      <c r="BT27" s="1"/>
    </row>
    <row r="28" spans="2:72" x14ac:dyDescent="0.25">
      <c r="B28">
        <v>15985</v>
      </c>
      <c r="C28" s="1">
        <v>1.4945366666666667E-10</v>
      </c>
      <c r="D28" s="1">
        <v>1.4945066666666668E-10</v>
      </c>
      <c r="E28">
        <v>5.94E-3</v>
      </c>
      <c r="F28" s="1">
        <f t="shared" ref="F28" si="16">(C28*A$9)/(A$12*A$5)</f>
        <v>0.68897104809848053</v>
      </c>
      <c r="G28" s="1">
        <f t="shared" si="5"/>
        <v>0.69897104809848054</v>
      </c>
      <c r="H28">
        <f t="shared" si="1"/>
        <v>5.94E-3</v>
      </c>
      <c r="I28">
        <f t="shared" si="6"/>
        <v>7.4400000000000004E-3</v>
      </c>
      <c r="K28">
        <v>15985</v>
      </c>
      <c r="L28" s="1">
        <v>9.6247666666666668E-11</v>
      </c>
      <c r="M28" s="1">
        <v>9.6246066666666662E-11</v>
      </c>
      <c r="N28">
        <v>7.2300000000000003E-3</v>
      </c>
      <c r="O28" s="1">
        <f t="shared" ref="O28" si="17">(L28*J$9)/(J$12*J$5)</f>
        <v>0.4436950745963622</v>
      </c>
      <c r="P28" s="1">
        <f t="shared" si="7"/>
        <v>0.45369507459636221</v>
      </c>
      <c r="Q28">
        <f t="shared" ref="Q28" si="18">N28</f>
        <v>7.2300000000000003E-3</v>
      </c>
      <c r="R28">
        <f t="shared" si="8"/>
        <v>7.3800000000000003E-3</v>
      </c>
      <c r="T28">
        <v>15985</v>
      </c>
      <c r="U28" s="1">
        <v>9.4872066666666675E-11</v>
      </c>
      <c r="V28" s="1">
        <v>9.4870000000000004E-11</v>
      </c>
      <c r="W28">
        <v>6.2199999999999998E-3</v>
      </c>
      <c r="X28" s="1">
        <f t="shared" ref="X28" si="19">(U28*S$9)/(S$12*S$5)</f>
        <v>0.4373536539079152</v>
      </c>
      <c r="Y28">
        <f t="shared" ref="Y28" si="20">W28</f>
        <v>6.2199999999999998E-3</v>
      </c>
      <c r="AB28">
        <v>15985</v>
      </c>
      <c r="AC28" s="1">
        <v>1.4766300000000001E-10</v>
      </c>
      <c r="AD28" s="1">
        <v>1.4765699999999998E-10</v>
      </c>
      <c r="AE28">
        <v>7.1300000000000001E-3</v>
      </c>
      <c r="AF28" s="1">
        <f t="shared" ref="AF28" si="21">(AC28*AA$9)/(AA$12*AA$5)</f>
        <v>0.68071619883553158</v>
      </c>
      <c r="AG28">
        <f t="shared" ref="AG28" si="22">AE28</f>
        <v>7.1300000000000001E-3</v>
      </c>
      <c r="AJ28">
        <v>15985</v>
      </c>
      <c r="AK28" s="1">
        <v>2.454746666666667E-10</v>
      </c>
      <c r="AL28" s="1">
        <v>2.4479033333333331E-10</v>
      </c>
      <c r="AM28">
        <v>7.45E-3</v>
      </c>
      <c r="AN28" s="1">
        <f t="shared" si="10"/>
        <v>1.1316212050666214</v>
      </c>
      <c r="AO28">
        <f t="shared" si="15"/>
        <v>7.45E-3</v>
      </c>
      <c r="AS28" s="1"/>
      <c r="AT28" s="1"/>
      <c r="AV28" s="1"/>
      <c r="BA28" s="1"/>
      <c r="BB28" s="1"/>
      <c r="BD28" s="1"/>
    </row>
    <row r="29" spans="2:72" x14ac:dyDescent="0.25">
      <c r="B29">
        <v>20980</v>
      </c>
      <c r="C29" s="1">
        <v>1.4935533333333332E-10</v>
      </c>
      <c r="D29" s="1">
        <v>1.4935133333333333E-10</v>
      </c>
      <c r="E29">
        <v>6.7299999999999999E-3</v>
      </c>
      <c r="F29" s="1">
        <f t="shared" ref="F29" si="23">(C29*A$9)/(A$12*A$5)</f>
        <v>0.6885177382450608</v>
      </c>
      <c r="G29" s="1">
        <f t="shared" si="5"/>
        <v>0.6985177382450608</v>
      </c>
      <c r="H29">
        <f t="shared" si="1"/>
        <v>6.7299999999999999E-3</v>
      </c>
      <c r="I29">
        <f t="shared" si="6"/>
        <v>8.2299999999999995E-3</v>
      </c>
      <c r="K29">
        <v>20980</v>
      </c>
      <c r="L29" s="1">
        <v>9.6179666666666666E-11</v>
      </c>
      <c r="M29" s="1">
        <v>9.617729999999999E-11</v>
      </c>
      <c r="N29">
        <v>7.9100000000000004E-3</v>
      </c>
      <c r="O29" s="1">
        <f t="shared" ref="O29" si="24">(L29*J$9)/(J$12*J$5)</f>
        <v>0.44338159930789578</v>
      </c>
      <c r="P29" s="1">
        <f t="shared" si="7"/>
        <v>0.45338159930789579</v>
      </c>
      <c r="Q29">
        <f t="shared" ref="Q29" si="25">N29</f>
        <v>7.9100000000000004E-3</v>
      </c>
      <c r="R29">
        <f t="shared" si="8"/>
        <v>8.0600000000000012E-3</v>
      </c>
      <c r="T29">
        <v>20980</v>
      </c>
      <c r="U29" s="1">
        <v>9.4804933333333323E-11</v>
      </c>
      <c r="V29" s="1">
        <v>9.4802266666666668E-11</v>
      </c>
      <c r="W29">
        <v>7.0000000000000001E-3</v>
      </c>
      <c r="X29" s="1">
        <f t="shared" ref="X29" si="26">(U29*S$9)/(S$12*S$5)</f>
        <v>0.43704417389273303</v>
      </c>
      <c r="Y29">
        <f t="shared" ref="Y29" si="27">W29</f>
        <v>7.0000000000000001E-3</v>
      </c>
      <c r="AB29">
        <v>20980</v>
      </c>
      <c r="AC29" s="1">
        <v>1.4751766666666666E-10</v>
      </c>
      <c r="AD29" s="1">
        <v>1.4751000000000002E-10</v>
      </c>
      <c r="AE29">
        <v>7.8799999999999999E-3</v>
      </c>
      <c r="AF29" s="1">
        <f t="shared" ref="AF29" si="28">(AC29*AA$9)/(AA$12*AA$5)</f>
        <v>0.68004622223861311</v>
      </c>
      <c r="AG29">
        <f t="shared" ref="AG29" si="29">AE29</f>
        <v>7.8799999999999999E-3</v>
      </c>
      <c r="AJ29">
        <v>20980</v>
      </c>
      <c r="AK29" s="1">
        <v>2.4333800000000004E-10</v>
      </c>
      <c r="AL29" s="1">
        <v>2.4265099999999999E-10</v>
      </c>
      <c r="AM29">
        <v>8.2799999999999992E-3</v>
      </c>
      <c r="AN29" s="1">
        <f t="shared" si="10"/>
        <v>1.121771319777064</v>
      </c>
      <c r="AO29">
        <f t="shared" si="15"/>
        <v>8.2799999999999992E-3</v>
      </c>
      <c r="AS29" s="1"/>
      <c r="AT29" s="1"/>
      <c r="AV29" s="1"/>
      <c r="BA29" s="1"/>
      <c r="BB29" s="1"/>
      <c r="BD29" s="1"/>
    </row>
    <row r="30" spans="2:72" x14ac:dyDescent="0.25">
      <c r="B30">
        <v>25975</v>
      </c>
      <c r="C30" s="1">
        <v>1.4927233333333333E-10</v>
      </c>
      <c r="D30" s="1">
        <v>1.49268E-10</v>
      </c>
      <c r="E30">
        <v>7.0099999999999997E-3</v>
      </c>
      <c r="F30" s="1">
        <f t="shared" ref="F30" si="30">(C30*A$9)/(A$12*A$5)</f>
        <v>0.68813511399590332</v>
      </c>
      <c r="G30" s="1">
        <f t="shared" si="5"/>
        <v>0.69813511399590333</v>
      </c>
      <c r="H30">
        <f t="shared" si="1"/>
        <v>7.0099999999999997E-3</v>
      </c>
      <c r="I30">
        <f t="shared" si="6"/>
        <v>8.5100000000000002E-3</v>
      </c>
      <c r="K30">
        <v>25975</v>
      </c>
      <c r="L30" s="1">
        <v>9.6132000000000012E-11</v>
      </c>
      <c r="M30" s="1">
        <v>9.6129266666666665E-11</v>
      </c>
      <c r="N30">
        <v>7.9600000000000001E-3</v>
      </c>
      <c r="O30" s="1">
        <f t="shared" ref="O30" si="31">(L30*J$9)/(J$12*J$5)</f>
        <v>0.44316185927725515</v>
      </c>
      <c r="P30" s="1">
        <f t="shared" si="7"/>
        <v>0.45316185927725516</v>
      </c>
      <c r="Q30">
        <f t="shared" ref="Q30" si="32">N30</f>
        <v>7.9600000000000001E-3</v>
      </c>
      <c r="R30">
        <f t="shared" si="8"/>
        <v>8.1100000000000009E-3</v>
      </c>
      <c r="T30">
        <v>25975</v>
      </c>
      <c r="U30" s="1">
        <v>9.4740866666666664E-11</v>
      </c>
      <c r="V30" s="1">
        <v>9.4738033333333336E-11</v>
      </c>
      <c r="W30">
        <v>7.1500000000000001E-3</v>
      </c>
      <c r="X30" s="1">
        <f t="shared" ref="X30" si="33">(U30*S$9)/(S$12*S$5)</f>
        <v>0.43674883099840345</v>
      </c>
      <c r="Y30">
        <f t="shared" ref="Y30" si="34">W30</f>
        <v>7.1500000000000001E-3</v>
      </c>
      <c r="AB30">
        <v>25975</v>
      </c>
      <c r="AC30" s="1">
        <v>1.4740133333333333E-10</v>
      </c>
      <c r="AD30" s="1">
        <v>1.4739299999999999E-10</v>
      </c>
      <c r="AE30">
        <v>8.0999999999999996E-3</v>
      </c>
      <c r="AF30" s="1">
        <f t="shared" ref="AF30" si="35">(AC30*AA$9)/(AA$12*AA$5)</f>
        <v>0.67950993363236412</v>
      </c>
      <c r="AG30">
        <f t="shared" ref="AG30" si="36">AE30</f>
        <v>8.0999999999999996E-3</v>
      </c>
      <c r="AJ30">
        <v>25975</v>
      </c>
      <c r="AK30" s="1">
        <v>2.4166133333333335E-10</v>
      </c>
      <c r="AL30" s="1">
        <v>2.4097633333333331E-10</v>
      </c>
      <c r="AM30">
        <v>8.5100000000000002E-3</v>
      </c>
      <c r="AN30" s="1">
        <f t="shared" si="10"/>
        <v>1.1140420026153675</v>
      </c>
      <c r="AO30">
        <f t="shared" si="15"/>
        <v>8.5100000000000002E-3</v>
      </c>
      <c r="AS30" s="1"/>
      <c r="AT30" s="1"/>
      <c r="AV30" s="1"/>
      <c r="BA30" s="1"/>
      <c r="BB30" s="1"/>
      <c r="BD30" s="1"/>
    </row>
    <row r="31" spans="2:72" x14ac:dyDescent="0.25">
      <c r="B31">
        <v>30970</v>
      </c>
      <c r="C31" s="1">
        <v>1.4920333333333333E-10</v>
      </c>
      <c r="D31" s="1">
        <v>1.4919833333333334E-10</v>
      </c>
      <c r="E31">
        <v>7.6E-3</v>
      </c>
      <c r="F31" s="1">
        <f t="shared" ref="F31" si="37">(C31*A$9)/(A$12*A$5)</f>
        <v>0.68781702877672413</v>
      </c>
      <c r="G31" s="1">
        <f t="shared" si="5"/>
        <v>0.69781702877672414</v>
      </c>
      <c r="H31">
        <f t="shared" si="1"/>
        <v>7.6E-3</v>
      </c>
      <c r="I31">
        <f t="shared" si="6"/>
        <v>9.1000000000000004E-3</v>
      </c>
      <c r="K31">
        <v>30970</v>
      </c>
      <c r="L31" s="1">
        <v>9.608963333333333E-11</v>
      </c>
      <c r="M31" s="1">
        <v>9.6086533333333324E-11</v>
      </c>
      <c r="N31">
        <v>8.3300000000000006E-3</v>
      </c>
      <c r="O31" s="1">
        <f t="shared" ref="O31" si="38">(L31*J$9)/(J$12*J$5)</f>
        <v>0.44296655187939193</v>
      </c>
      <c r="P31" s="1">
        <f t="shared" si="7"/>
        <v>0.45296655187939194</v>
      </c>
      <c r="Q31">
        <f t="shared" ref="Q31" si="39">N31</f>
        <v>8.3300000000000006E-3</v>
      </c>
      <c r="R31">
        <f t="shared" si="8"/>
        <v>8.4800000000000014E-3</v>
      </c>
      <c r="T31">
        <v>30970</v>
      </c>
      <c r="U31" s="1">
        <v>9.4688733333333324E-11</v>
      </c>
      <c r="V31" s="1">
        <v>9.4685633333333331E-11</v>
      </c>
      <c r="W31">
        <v>7.4799999999999997E-3</v>
      </c>
      <c r="X31" s="1">
        <f t="shared" ref="X31" si="40">(U31*S$9)/(S$12*S$5)</f>
        <v>0.43650849994391255</v>
      </c>
      <c r="Y31">
        <f t="shared" ref="Y31" si="41">W31</f>
        <v>7.4799999999999997E-3</v>
      </c>
      <c r="AB31">
        <v>30970</v>
      </c>
      <c r="AC31" s="1">
        <v>1.4730499999999996E-10</v>
      </c>
      <c r="AD31" s="1">
        <v>1.4729633333333333E-10</v>
      </c>
      <c r="AE31">
        <v>8.6E-3</v>
      </c>
      <c r="AF31" s="1">
        <f t="shared" ref="AF31" si="42">(AC31*AA$9)/(AA$12*AA$5)</f>
        <v>0.67906584364037004</v>
      </c>
      <c r="AG31">
        <f t="shared" ref="AG31" si="43">AE31</f>
        <v>8.6E-3</v>
      </c>
      <c r="AJ31">
        <v>30970</v>
      </c>
      <c r="AK31" s="1">
        <v>2.4029999999999999E-10</v>
      </c>
      <c r="AL31" s="1">
        <v>2.3961300000000004E-10</v>
      </c>
      <c r="AM31">
        <v>8.8800000000000007E-3</v>
      </c>
      <c r="AN31" s="1">
        <f t="shared" si="10"/>
        <v>1.1077663502717554</v>
      </c>
      <c r="AO31">
        <f t="shared" si="15"/>
        <v>8.8800000000000007E-3</v>
      </c>
      <c r="AS31" s="1"/>
      <c r="AT31" s="1"/>
      <c r="AV31" s="1"/>
      <c r="BA31" s="1"/>
      <c r="BB31" s="1"/>
      <c r="BD31" s="1"/>
    </row>
    <row r="32" spans="2:72" x14ac:dyDescent="0.25">
      <c r="B32">
        <v>35965</v>
      </c>
      <c r="C32" s="1">
        <v>1.4914833333333332E-10</v>
      </c>
      <c r="D32" s="1">
        <v>1.4914200000000001E-10</v>
      </c>
      <c r="E32">
        <v>8.2500000000000004E-3</v>
      </c>
      <c r="F32" s="1">
        <f t="shared" ref="F32" si="44">(C32*A$9)/(A$12*A$5)</f>
        <v>0.68756348258752331</v>
      </c>
      <c r="G32" s="1">
        <f t="shared" si="5"/>
        <v>0.69756348258752332</v>
      </c>
      <c r="H32">
        <f t="shared" si="1"/>
        <v>8.2500000000000004E-3</v>
      </c>
      <c r="I32">
        <f t="shared" si="6"/>
        <v>9.75E-3</v>
      </c>
      <c r="K32">
        <v>35965</v>
      </c>
      <c r="L32" s="1">
        <v>9.60531E-11</v>
      </c>
      <c r="M32" s="1">
        <v>9.6049566666666656E-11</v>
      </c>
      <c r="N32">
        <v>8.7399999999999995E-3</v>
      </c>
      <c r="O32" s="1">
        <f t="shared" ref="O32" si="45">(L32*J$9)/(J$12*J$5)</f>
        <v>0.44279813574401983</v>
      </c>
      <c r="P32" s="1">
        <f t="shared" si="7"/>
        <v>0.45279813574401984</v>
      </c>
      <c r="Q32">
        <f t="shared" ref="Q32" si="46">N32</f>
        <v>8.7399999999999995E-3</v>
      </c>
      <c r="R32">
        <f t="shared" si="8"/>
        <v>8.8900000000000003E-3</v>
      </c>
      <c r="T32">
        <v>35965</v>
      </c>
      <c r="U32" s="1">
        <v>9.4644866666666667E-11</v>
      </c>
      <c r="V32" s="1">
        <v>9.4641133333333324E-11</v>
      </c>
      <c r="W32">
        <v>8.0999999999999996E-3</v>
      </c>
      <c r="X32" s="1">
        <f t="shared" ref="X32" si="47">(U32*S$9)/(S$12*S$5)</f>
        <v>0.43630627764998031</v>
      </c>
      <c r="Y32">
        <f t="shared" ref="Y32" si="48">W32</f>
        <v>8.0999999999999996E-3</v>
      </c>
      <c r="AB32">
        <v>35965</v>
      </c>
      <c r="AC32" s="1">
        <v>1.4721399999999998E-10</v>
      </c>
      <c r="AD32" s="1">
        <v>1.4720366666666666E-10</v>
      </c>
      <c r="AE32">
        <v>9.1299999999999992E-3</v>
      </c>
      <c r="AF32" s="1">
        <f t="shared" ref="AF32" si="49">(AC32*AA$9)/(AA$12*AA$5)</f>
        <v>0.6786463399455106</v>
      </c>
      <c r="AG32">
        <f t="shared" ref="AG32" si="50">AE32</f>
        <v>9.1299999999999992E-3</v>
      </c>
      <c r="AJ32">
        <v>35965</v>
      </c>
      <c r="AK32" s="1">
        <v>2.39138E-10</v>
      </c>
      <c r="AL32" s="1">
        <v>2.3844466666666668E-10</v>
      </c>
      <c r="AM32">
        <v>9.5999999999999992E-3</v>
      </c>
      <c r="AN32" s="1">
        <f t="shared" si="10"/>
        <v>1.1024096107835499</v>
      </c>
      <c r="AO32">
        <f t="shared" si="15"/>
        <v>9.5999999999999992E-3</v>
      </c>
      <c r="AS32" s="1"/>
      <c r="AT32" s="1"/>
      <c r="AV32" s="1"/>
      <c r="BA32" s="1"/>
      <c r="BB32" s="1"/>
      <c r="BD32" s="1"/>
    </row>
    <row r="33" spans="2:56" x14ac:dyDescent="0.25">
      <c r="B33">
        <v>40960</v>
      </c>
      <c r="C33" s="1">
        <v>1.4907099999999999E-10</v>
      </c>
      <c r="D33" s="1">
        <v>1.4906433333333333E-10</v>
      </c>
      <c r="E33">
        <v>8.5800000000000008E-3</v>
      </c>
      <c r="F33" s="1">
        <f t="shared" ref="F33" si="51">(C33*A$9)/(A$12*A$5)</f>
        <v>0.68720698127907143</v>
      </c>
      <c r="G33" s="1">
        <f t="shared" si="5"/>
        <v>0.69720698127907144</v>
      </c>
      <c r="H33">
        <f t="shared" si="1"/>
        <v>8.5800000000000008E-3</v>
      </c>
      <c r="I33">
        <f t="shared" si="6"/>
        <v>1.008E-2</v>
      </c>
      <c r="K33">
        <v>40960</v>
      </c>
      <c r="L33" s="1">
        <v>9.6007366666666671E-11</v>
      </c>
      <c r="M33" s="1">
        <v>9.6003800000000001E-11</v>
      </c>
      <c r="N33">
        <v>8.94E-3</v>
      </c>
      <c r="O33" s="1">
        <f t="shared" ref="O33" si="52">(L33*J$9)/(J$12*J$5)</f>
        <v>0.44258730824609044</v>
      </c>
      <c r="P33" s="1">
        <f t="shared" si="7"/>
        <v>0.45258730824609045</v>
      </c>
      <c r="Q33">
        <f t="shared" ref="Q33" si="53">N33</f>
        <v>8.94E-3</v>
      </c>
      <c r="R33">
        <f t="shared" si="8"/>
        <v>9.0900000000000009E-3</v>
      </c>
      <c r="T33">
        <v>40960</v>
      </c>
      <c r="U33" s="1">
        <v>9.4590066666666673E-11</v>
      </c>
      <c r="V33" s="1">
        <v>9.4586133333333344E-11</v>
      </c>
      <c r="W33">
        <v>8.3099999999999997E-3</v>
      </c>
      <c r="X33" s="1">
        <f t="shared" ref="X33" si="54">(U33*S$9)/(S$12*S$5)</f>
        <v>0.4360536534469221</v>
      </c>
      <c r="Y33">
        <f t="shared" ref="Y33" si="55">W33</f>
        <v>8.3099999999999997E-3</v>
      </c>
      <c r="AB33">
        <v>40960</v>
      </c>
      <c r="AC33" s="1">
        <v>1.4711800000000001E-10</v>
      </c>
      <c r="AD33" s="1">
        <v>1.47107E-10</v>
      </c>
      <c r="AE33">
        <v>9.4500000000000001E-3</v>
      </c>
      <c r="AF33" s="1">
        <f t="shared" ref="AF33" si="56">(AC33*AA$9)/(AA$12*AA$5)</f>
        <v>0.67820378659708747</v>
      </c>
      <c r="AG33">
        <f t="shared" ref="AG33" si="57">AE33</f>
        <v>9.4500000000000001E-3</v>
      </c>
      <c r="AJ33">
        <v>40960</v>
      </c>
      <c r="AK33" s="1">
        <v>2.3810933333333333E-10</v>
      </c>
      <c r="AL33" s="1">
        <v>2.3741600000000001E-10</v>
      </c>
      <c r="AM33">
        <v>9.9100000000000004E-3</v>
      </c>
      <c r="AN33" s="1">
        <f t="shared" si="10"/>
        <v>1.0976675287237101</v>
      </c>
      <c r="AO33">
        <f t="shared" si="15"/>
        <v>9.9100000000000004E-3</v>
      </c>
      <c r="AS33" s="1"/>
      <c r="AT33" s="1"/>
      <c r="AV33" s="1"/>
      <c r="BA33" s="1"/>
      <c r="BB33" s="1"/>
      <c r="BD33" s="1"/>
    </row>
    <row r="34" spans="2:56" x14ac:dyDescent="0.25">
      <c r="B34">
        <v>45955</v>
      </c>
      <c r="C34" s="1">
        <v>1.4901533333333332E-10</v>
      </c>
      <c r="D34" s="1">
        <v>1.4900766666666667E-10</v>
      </c>
      <c r="E34">
        <v>9.0900000000000009E-3</v>
      </c>
      <c r="F34" s="1">
        <f t="shared" ref="F34" si="58">(C34*A$9)/(A$12*A$5)</f>
        <v>0.68695036180272873</v>
      </c>
      <c r="G34" s="1">
        <f t="shared" si="5"/>
        <v>0.69695036180272874</v>
      </c>
      <c r="H34">
        <f t="shared" si="1"/>
        <v>9.0900000000000009E-3</v>
      </c>
      <c r="I34">
        <f t="shared" si="6"/>
        <v>1.059E-2</v>
      </c>
      <c r="K34">
        <v>45955</v>
      </c>
      <c r="L34" s="1">
        <v>9.597493333333333E-11</v>
      </c>
      <c r="M34" s="1">
        <v>9.5970666666666669E-11</v>
      </c>
      <c r="N34">
        <v>9.1999999999999998E-3</v>
      </c>
      <c r="O34" s="1">
        <f t="shared" ref="O34" si="59">(L34*J$9)/(J$12*J$5)</f>
        <v>0.44243779282664047</v>
      </c>
      <c r="P34" s="1">
        <f t="shared" si="7"/>
        <v>0.45243779282664048</v>
      </c>
      <c r="Q34">
        <f t="shared" ref="Q34" si="60">N34</f>
        <v>9.1999999999999998E-3</v>
      </c>
      <c r="R34">
        <f t="shared" si="8"/>
        <v>9.3500000000000007E-3</v>
      </c>
      <c r="T34">
        <v>45955</v>
      </c>
      <c r="U34" s="1">
        <v>9.4552966666666659E-11</v>
      </c>
      <c r="V34" s="1">
        <v>9.4548699999999998E-11</v>
      </c>
      <c r="W34">
        <v>8.6599999999999993E-3</v>
      </c>
      <c r="X34" s="1">
        <f t="shared" ref="X34" si="61">(U34*S$9)/(S$12*S$5)</f>
        <v>0.43588262501747932</v>
      </c>
      <c r="Y34">
        <f t="shared" ref="Y34" si="62">W34</f>
        <v>8.6599999999999993E-3</v>
      </c>
      <c r="AB34">
        <v>45955</v>
      </c>
      <c r="AC34" s="1">
        <v>1.4704266666666667E-10</v>
      </c>
      <c r="AD34" s="1">
        <v>1.4703099999999999E-10</v>
      </c>
      <c r="AE34">
        <v>9.8499999999999994E-3</v>
      </c>
      <c r="AF34" s="1">
        <f t="shared" ref="AF34" si="63">(AC34*AA$9)/(AA$12*AA$5)</f>
        <v>0.67785650515006102</v>
      </c>
      <c r="AG34">
        <f t="shared" ref="AG34" si="64">AE34</f>
        <v>9.8499999999999994E-3</v>
      </c>
      <c r="AJ34">
        <v>45955</v>
      </c>
      <c r="AK34" s="1">
        <v>2.3722233333333332E-10</v>
      </c>
      <c r="AL34" s="1">
        <v>2.3652566666666666E-10</v>
      </c>
      <c r="AM34">
        <v>1.031E-2</v>
      </c>
      <c r="AN34" s="1">
        <f t="shared" si="10"/>
        <v>1.0935785201815085</v>
      </c>
      <c r="AO34">
        <f t="shared" si="15"/>
        <v>1.031E-2</v>
      </c>
      <c r="AS34" s="1"/>
      <c r="AT34" s="1"/>
      <c r="AV34" s="1"/>
      <c r="BA34" s="1"/>
      <c r="BB34" s="1"/>
      <c r="BD34" s="1"/>
    </row>
    <row r="35" spans="2:56" x14ac:dyDescent="0.25">
      <c r="B35">
        <v>50950</v>
      </c>
      <c r="C35" s="1">
        <v>1.4896733333333332E-10</v>
      </c>
      <c r="D35" s="1">
        <v>1.4895899999999999E-10</v>
      </c>
      <c r="E35">
        <v>9.4800000000000006E-3</v>
      </c>
      <c r="F35" s="1">
        <f t="shared" ref="F35" si="65">(C35*A$9)/(A$12*A$5)</f>
        <v>0.68672908512851716</v>
      </c>
      <c r="G35" s="1">
        <f t="shared" si="5"/>
        <v>0.69672908512851717</v>
      </c>
      <c r="H35">
        <f t="shared" si="1"/>
        <v>9.4800000000000006E-3</v>
      </c>
      <c r="I35">
        <f t="shared" si="6"/>
        <v>1.098E-2</v>
      </c>
      <c r="K35">
        <v>50950</v>
      </c>
      <c r="L35" s="1">
        <v>9.5945066666666677E-11</v>
      </c>
      <c r="M35" s="1">
        <v>9.5940733333333337E-11</v>
      </c>
      <c r="N35">
        <v>9.5200000000000007E-3</v>
      </c>
      <c r="O35" s="1">
        <f t="shared" ref="O35" si="66">(L35*J$9)/(J$12*J$5)</f>
        <v>0.44230010956268667</v>
      </c>
      <c r="P35" s="1">
        <f t="shared" si="7"/>
        <v>0.45230010956268668</v>
      </c>
      <c r="Q35">
        <f t="shared" ref="Q35" si="67">N35</f>
        <v>9.5200000000000007E-3</v>
      </c>
      <c r="R35">
        <f t="shared" si="8"/>
        <v>9.6700000000000015E-3</v>
      </c>
      <c r="T35">
        <v>50950</v>
      </c>
      <c r="U35" s="1">
        <v>9.451703333333334E-11</v>
      </c>
      <c r="V35" s="1">
        <v>9.4512466666666661E-11</v>
      </c>
      <c r="W35">
        <v>9.0200000000000002E-3</v>
      </c>
      <c r="X35" s="1">
        <f t="shared" ref="X35" si="68">(U35*S$9)/(S$12*S$5)</f>
        <v>0.43571697484053484</v>
      </c>
      <c r="Y35">
        <f t="shared" ref="Y35" si="69">W35</f>
        <v>9.0200000000000002E-3</v>
      </c>
      <c r="AB35">
        <v>50950</v>
      </c>
      <c r="AC35" s="1">
        <v>1.4697466666666666E-10</v>
      </c>
      <c r="AD35" s="1">
        <v>1.4696199999999999E-10</v>
      </c>
      <c r="AE35">
        <v>1.021E-2</v>
      </c>
      <c r="AF35" s="1">
        <f t="shared" ref="AF35" si="70">(AC35*AA$9)/(AA$12*AA$5)</f>
        <v>0.67754302986159454</v>
      </c>
      <c r="AG35">
        <f t="shared" ref="AG35" si="71">AE35</f>
        <v>1.021E-2</v>
      </c>
      <c r="AJ35">
        <v>50950</v>
      </c>
      <c r="AK35" s="1">
        <v>2.3642300000000002E-10</v>
      </c>
      <c r="AL35" s="1">
        <v>2.3572266666666664E-10</v>
      </c>
      <c r="AM35">
        <v>1.072E-2</v>
      </c>
      <c r="AN35" s="1">
        <f t="shared" si="10"/>
        <v>1.0898936488984572</v>
      </c>
      <c r="AO35">
        <f t="shared" si="15"/>
        <v>1.072E-2</v>
      </c>
      <c r="AS35" s="1"/>
      <c r="AT35" s="1"/>
      <c r="AV35" s="1"/>
      <c r="BA35" s="1"/>
      <c r="BB35" s="1"/>
      <c r="BD35" s="1"/>
    </row>
    <row r="36" spans="2:56" x14ac:dyDescent="0.25">
      <c r="B36">
        <v>55945</v>
      </c>
      <c r="C36" s="1">
        <v>1.4892766666666666E-10</v>
      </c>
      <c r="D36" s="1">
        <v>1.4891833333333332E-10</v>
      </c>
      <c r="E36">
        <v>1.0019999999999999E-2</v>
      </c>
      <c r="F36" s="1">
        <f t="shared" ref="F36" si="72">(C36*A$9)/(A$12*A$5)</f>
        <v>0.68654622454357839</v>
      </c>
      <c r="G36" s="1">
        <f t="shared" si="5"/>
        <v>0.6965462245435784</v>
      </c>
      <c r="H36">
        <f t="shared" si="1"/>
        <v>1.0019999999999999E-2</v>
      </c>
      <c r="I36">
        <f t="shared" si="6"/>
        <v>1.1519999999999999E-2</v>
      </c>
      <c r="K36">
        <v>55945</v>
      </c>
      <c r="L36" s="1">
        <v>9.5925200000000007E-11</v>
      </c>
      <c r="M36" s="1">
        <v>9.5920133333333323E-11</v>
      </c>
      <c r="N36">
        <v>9.9100000000000004E-3</v>
      </c>
      <c r="O36" s="1">
        <f t="shared" ref="O36" si="73">(L36*J$9)/(J$12*J$5)</f>
        <v>0.44220852560586016</v>
      </c>
      <c r="P36" s="1">
        <f t="shared" si="7"/>
        <v>0.45220852560586017</v>
      </c>
      <c r="Q36">
        <f t="shared" ref="Q36" si="74">N36</f>
        <v>9.9100000000000004E-3</v>
      </c>
      <c r="R36">
        <f t="shared" si="8"/>
        <v>1.0060000000000001E-2</v>
      </c>
      <c r="T36">
        <v>55945</v>
      </c>
      <c r="U36" s="1">
        <v>9.4490266666666667E-11</v>
      </c>
      <c r="V36" s="1">
        <v>9.4485066666666664E-11</v>
      </c>
      <c r="W36">
        <v>9.3900000000000008E-3</v>
      </c>
      <c r="X36" s="1">
        <f t="shared" ref="X36" si="75">(U36*S$9)/(S$12*S$5)</f>
        <v>0.43559358236179047</v>
      </c>
      <c r="Y36">
        <f t="shared" ref="Y36" si="76">W36</f>
        <v>9.3900000000000008E-3</v>
      </c>
      <c r="AB36">
        <v>55945</v>
      </c>
      <c r="AC36" s="1">
        <v>1.4691533333333332E-10</v>
      </c>
      <c r="AD36" s="1">
        <v>1.4690133333333336E-10</v>
      </c>
      <c r="AE36">
        <v>1.069E-2</v>
      </c>
      <c r="AF36" s="1">
        <f t="shared" ref="AF36" si="77">(AC36*AA$9)/(AA$12*AA$5)</f>
        <v>0.6772695073059718</v>
      </c>
      <c r="AG36">
        <f t="shared" ref="AG36" si="78">AE36</f>
        <v>1.069E-2</v>
      </c>
      <c r="AJ36">
        <v>55945</v>
      </c>
      <c r="AK36" s="1">
        <v>2.3570866666666668E-10</v>
      </c>
      <c r="AL36" s="1">
        <v>2.3500233333333335E-10</v>
      </c>
      <c r="AM36">
        <v>1.1259999999999999E-2</v>
      </c>
      <c r="AN36" s="1">
        <f t="shared" si="10"/>
        <v>1.0866006217259889</v>
      </c>
      <c r="AO36">
        <f t="shared" si="15"/>
        <v>1.1259999999999999E-2</v>
      </c>
      <c r="AS36" s="1"/>
      <c r="AT36" s="1"/>
      <c r="AV36" s="1"/>
      <c r="BA36" s="1"/>
      <c r="BB36" s="1"/>
      <c r="BD36" s="1"/>
    </row>
    <row r="37" spans="2:56" x14ac:dyDescent="0.25">
      <c r="B37">
        <v>60940</v>
      </c>
      <c r="C37" s="1">
        <v>1.4887266666666668E-10</v>
      </c>
      <c r="D37" s="1">
        <v>1.4886266666666667E-10</v>
      </c>
      <c r="E37">
        <v>1.0460000000000001E-2</v>
      </c>
      <c r="F37" s="1">
        <f t="shared" ref="F37" si="79">(C37*A$9)/(A$12*A$5)</f>
        <v>0.68629267835437779</v>
      </c>
      <c r="G37" s="1">
        <f t="shared" si="5"/>
        <v>0.6962926783543778</v>
      </c>
      <c r="H37">
        <f t="shared" si="1"/>
        <v>1.0460000000000001E-2</v>
      </c>
      <c r="I37">
        <f t="shared" si="6"/>
        <v>1.196E-2</v>
      </c>
      <c r="K37">
        <v>60940</v>
      </c>
      <c r="L37" s="1">
        <v>9.5892100000000002E-11</v>
      </c>
      <c r="M37" s="1">
        <v>9.5886966666666665E-11</v>
      </c>
      <c r="N37">
        <v>1.027E-2</v>
      </c>
      <c r="O37" s="1">
        <f t="shared" ref="O37" si="80">(L37*J$9)/(J$12*J$5)</f>
        <v>0.44205593689926842</v>
      </c>
      <c r="P37" s="1">
        <f t="shared" si="7"/>
        <v>0.45205593689926843</v>
      </c>
      <c r="Q37">
        <f t="shared" ref="Q37" si="81">N37</f>
        <v>1.027E-2</v>
      </c>
      <c r="R37">
        <f t="shared" si="8"/>
        <v>1.042E-2</v>
      </c>
      <c r="T37">
        <v>60940</v>
      </c>
      <c r="U37" s="1">
        <v>9.4454399999999988E-11</v>
      </c>
      <c r="V37" s="1">
        <v>9.4448833333333326E-11</v>
      </c>
      <c r="W37">
        <v>9.7400000000000004E-3</v>
      </c>
      <c r="X37" s="1">
        <f t="shared" ref="X37" si="82">(U37*S$9)/(S$12*S$5)</f>
        <v>0.43542823951356008</v>
      </c>
      <c r="Y37">
        <f t="shared" ref="Y37" si="83">W37</f>
        <v>9.7400000000000004E-3</v>
      </c>
      <c r="AB37">
        <v>60940</v>
      </c>
      <c r="AC37" s="1">
        <v>1.4684633333333333E-10</v>
      </c>
      <c r="AD37" s="1">
        <v>1.4683166666666667E-10</v>
      </c>
      <c r="AE37">
        <v>1.1039999999999999E-2</v>
      </c>
      <c r="AF37" s="1">
        <f t="shared" ref="AF37" si="84">(AC37*AA$9)/(AA$12*AA$5)</f>
        <v>0.67695142208679282</v>
      </c>
      <c r="AG37">
        <f t="shared" ref="AG37" si="85">AE37</f>
        <v>1.1039999999999999E-2</v>
      </c>
      <c r="AJ37">
        <v>60940</v>
      </c>
      <c r="AK37" s="1">
        <v>2.3503500000000001E-10</v>
      </c>
      <c r="AL37" s="1">
        <v>2.3432466666666664E-10</v>
      </c>
      <c r="AM37">
        <v>1.1599999999999999E-2</v>
      </c>
      <c r="AN37" s="1">
        <f t="shared" si="10"/>
        <v>1.0834950650691721</v>
      </c>
      <c r="AO37">
        <f t="shared" si="15"/>
        <v>1.1599999999999999E-2</v>
      </c>
      <c r="AS37" s="1"/>
      <c r="AT37" s="1"/>
      <c r="AV37" s="1"/>
      <c r="BA37" s="1"/>
      <c r="BB37" s="1"/>
      <c r="BD37" s="1"/>
    </row>
    <row r="38" spans="2:56" x14ac:dyDescent="0.25">
      <c r="B38">
        <v>65935</v>
      </c>
      <c r="C38" s="1">
        <v>1.4881933333333332E-10</v>
      </c>
      <c r="D38" s="1">
        <v>1.4880833333333335E-10</v>
      </c>
      <c r="E38">
        <v>1.0749999999999999E-2</v>
      </c>
      <c r="F38" s="1">
        <f t="shared" ref="F38" si="86">(C38*A$9)/(A$12*A$5)</f>
        <v>0.68604681538303147</v>
      </c>
      <c r="G38" s="1">
        <f t="shared" si="5"/>
        <v>0.69604681538303148</v>
      </c>
      <c r="H38">
        <f t="shared" si="1"/>
        <v>1.0749999999999999E-2</v>
      </c>
      <c r="I38">
        <f t="shared" si="6"/>
        <v>1.2249999999999999E-2</v>
      </c>
      <c r="K38">
        <v>65935</v>
      </c>
      <c r="L38" s="1">
        <v>9.5859833333333333E-11</v>
      </c>
      <c r="M38" s="1">
        <v>9.5854333333333338E-11</v>
      </c>
      <c r="N38">
        <v>1.0449999999999999E-2</v>
      </c>
      <c r="O38" s="1">
        <f t="shared" ref="O38" si="87">(L38*J$9)/(J$12*J$5)</f>
        <v>0.44190718980160398</v>
      </c>
      <c r="P38" s="1">
        <f t="shared" si="7"/>
        <v>0.45190718980160399</v>
      </c>
      <c r="Q38">
        <f t="shared" ref="Q38" si="88">N38</f>
        <v>1.0449999999999999E-2</v>
      </c>
      <c r="R38">
        <f t="shared" si="8"/>
        <v>1.06E-2</v>
      </c>
      <c r="T38">
        <v>65935</v>
      </c>
      <c r="U38" s="1">
        <v>9.4416100000000006E-11</v>
      </c>
      <c r="V38" s="1">
        <v>9.4410333333333345E-11</v>
      </c>
      <c r="W38">
        <v>1.0019999999999999E-2</v>
      </c>
      <c r="X38" s="1">
        <f t="shared" ref="X38" si="89">(U38*S$9)/(S$12*S$5)</f>
        <v>0.43525167916726215</v>
      </c>
      <c r="Y38">
        <f t="shared" ref="Y38" si="90">W38</f>
        <v>1.0019999999999999E-2</v>
      </c>
      <c r="AB38">
        <v>65935</v>
      </c>
      <c r="AC38" s="1">
        <v>1.4678033333333335E-10</v>
      </c>
      <c r="AD38" s="1">
        <v>1.4676433333333332E-10</v>
      </c>
      <c r="AE38">
        <v>1.141E-2</v>
      </c>
      <c r="AF38" s="1">
        <f t="shared" ref="AF38" si="91">(AC38*AA$9)/(AA$12*AA$5)</f>
        <v>0.67664716665975189</v>
      </c>
      <c r="AG38">
        <f t="shared" ref="AG38" si="92">AE38</f>
        <v>1.141E-2</v>
      </c>
      <c r="AJ38">
        <v>65935</v>
      </c>
      <c r="AK38" s="1">
        <v>2.34407E-10</v>
      </c>
      <c r="AL38" s="1">
        <v>2.3369399999999998E-10</v>
      </c>
      <c r="AM38">
        <v>1.189E-2</v>
      </c>
      <c r="AN38" s="1">
        <f t="shared" si="10"/>
        <v>1.0806000285815704</v>
      </c>
      <c r="AO38">
        <f t="shared" si="15"/>
        <v>1.189E-2</v>
      </c>
      <c r="AS38" s="1"/>
      <c r="AT38" s="1"/>
      <c r="AV38" s="1"/>
      <c r="BA38" s="1"/>
      <c r="BB38" s="1"/>
      <c r="BD38" s="1"/>
    </row>
    <row r="39" spans="2:56" x14ac:dyDescent="0.25">
      <c r="B39">
        <v>70930</v>
      </c>
      <c r="C39" s="1">
        <v>1.4877633333333334E-10</v>
      </c>
      <c r="D39" s="1">
        <v>1.4876466666666666E-10</v>
      </c>
      <c r="E39">
        <v>1.1140000000000001E-2</v>
      </c>
      <c r="F39" s="1">
        <f t="shared" ref="F39" si="93">(C39*A$9)/(A$12*A$5)</f>
        <v>0.6858485883623836</v>
      </c>
      <c r="G39" s="1">
        <f t="shared" si="5"/>
        <v>0.69584858836238361</v>
      </c>
      <c r="H39">
        <f t="shared" si="1"/>
        <v>1.1140000000000001E-2</v>
      </c>
      <c r="I39">
        <f t="shared" si="6"/>
        <v>1.264E-2</v>
      </c>
      <c r="K39">
        <v>70930</v>
      </c>
      <c r="L39" s="1">
        <v>9.5830966666666663E-11</v>
      </c>
      <c r="M39" s="1">
        <v>9.5825099999999996E-11</v>
      </c>
      <c r="N39">
        <v>1.0699999999999999E-2</v>
      </c>
      <c r="O39" s="1">
        <f t="shared" ref="O39" si="94">(L39*J$9)/(J$12*J$5)</f>
        <v>0.44177411646836279</v>
      </c>
      <c r="P39" s="1">
        <f t="shared" si="7"/>
        <v>0.4517741164683628</v>
      </c>
      <c r="Q39">
        <f t="shared" ref="Q39" si="95">N39</f>
        <v>1.0699999999999999E-2</v>
      </c>
      <c r="R39">
        <f t="shared" si="8"/>
        <v>1.085E-2</v>
      </c>
      <c r="T39">
        <v>70930</v>
      </c>
      <c r="U39" s="1">
        <v>9.4384399999999995E-11</v>
      </c>
      <c r="V39" s="1">
        <v>9.4378300000000002E-11</v>
      </c>
      <c r="W39">
        <v>1.0240000000000001E-2</v>
      </c>
      <c r="X39" s="1">
        <f t="shared" ref="X39" si="96">(U39*S$9)/(S$12*S$5)</f>
        <v>0.43510554436366822</v>
      </c>
      <c r="Y39">
        <f t="shared" ref="Y39" si="97">W39</f>
        <v>1.0240000000000001E-2</v>
      </c>
      <c r="AB39">
        <v>70930</v>
      </c>
      <c r="AC39" s="1">
        <v>1.4672166666666666E-10</v>
      </c>
      <c r="AD39" s="1">
        <v>1.4670499999999999E-10</v>
      </c>
      <c r="AE39">
        <v>1.1679999999999999E-2</v>
      </c>
      <c r="AF39" s="1">
        <f t="shared" ref="AF39" si="98">(AC39*AA$9)/(AA$12*AA$5)</f>
        <v>0.67637671739127092</v>
      </c>
      <c r="AG39">
        <f t="shared" ref="AG39" si="99">AE39</f>
        <v>1.1679999999999999E-2</v>
      </c>
      <c r="AJ39">
        <v>70930</v>
      </c>
      <c r="AK39" s="1">
        <v>2.338306666666667E-10</v>
      </c>
      <c r="AL39" s="1">
        <v>2.3311466666666666E-10</v>
      </c>
      <c r="AM39">
        <v>1.2200000000000001E-2</v>
      </c>
      <c r="AN39" s="1">
        <f t="shared" si="10"/>
        <v>1.0779431718474606</v>
      </c>
      <c r="AO39">
        <f t="shared" si="15"/>
        <v>1.2200000000000001E-2</v>
      </c>
      <c r="AS39" s="1"/>
      <c r="AT39" s="1"/>
      <c r="AV39" s="1"/>
      <c r="BA39" s="1"/>
      <c r="BB39" s="1"/>
      <c r="BD39" s="1"/>
    </row>
    <row r="40" spans="2:56" x14ac:dyDescent="0.25">
      <c r="B40">
        <v>75925</v>
      </c>
      <c r="C40" s="1">
        <v>1.4873600000000001E-10</v>
      </c>
      <c r="D40" s="1">
        <v>1.4872366666666667E-10</v>
      </c>
      <c r="E40">
        <v>1.15E-2</v>
      </c>
      <c r="F40" s="1">
        <f t="shared" ref="F40" si="100">(C40*A$9)/(A$12*A$5)</f>
        <v>0.68566265449030306</v>
      </c>
      <c r="G40" s="1">
        <f t="shared" si="5"/>
        <v>0.69566265449030307</v>
      </c>
      <c r="H40">
        <f t="shared" si="1"/>
        <v>1.15E-2</v>
      </c>
      <c r="I40">
        <f t="shared" si="6"/>
        <v>1.2999999999999999E-2</v>
      </c>
      <c r="K40">
        <v>75925</v>
      </c>
      <c r="L40" s="1">
        <v>9.58121E-11</v>
      </c>
      <c r="M40" s="1">
        <v>9.5806166666666654E-11</v>
      </c>
      <c r="N40">
        <v>1.0999999999999999E-2</v>
      </c>
      <c r="O40" s="1">
        <f t="shared" ref="O40" si="101">(L40*J$9)/(J$12*J$5)</f>
        <v>0.4416871424422491</v>
      </c>
      <c r="P40" s="1">
        <f t="shared" si="7"/>
        <v>0.45168714244224911</v>
      </c>
      <c r="Q40">
        <f t="shared" ref="Q40" si="102">N40</f>
        <v>1.0999999999999999E-2</v>
      </c>
      <c r="R40">
        <f t="shared" si="8"/>
        <v>1.115E-2</v>
      </c>
      <c r="T40">
        <v>75925</v>
      </c>
      <c r="U40" s="1">
        <v>9.4357866666666661E-11</v>
      </c>
      <c r="V40" s="1">
        <v>9.4351366666666657E-11</v>
      </c>
      <c r="W40">
        <v>1.055E-2</v>
      </c>
      <c r="X40" s="1">
        <f t="shared" ref="X40" si="103">(U40*S$9)/(S$12*S$5)</f>
        <v>0.43498322753542346</v>
      </c>
      <c r="Y40">
        <f t="shared" ref="Y40" si="104">W40</f>
        <v>1.055E-2</v>
      </c>
      <c r="AB40">
        <v>75925</v>
      </c>
      <c r="AC40" s="1">
        <v>1.4667E-10</v>
      </c>
      <c r="AD40" s="1">
        <v>1.4665233333333334E-10</v>
      </c>
      <c r="AE40">
        <v>1.205E-2</v>
      </c>
      <c r="AF40" s="1">
        <f t="shared" ref="AF40" si="105">(AC40*AA$9)/(AA$12*AA$5)</f>
        <v>0.67613853763777942</v>
      </c>
      <c r="AG40">
        <f t="shared" ref="AG40" si="106">AE40</f>
        <v>1.205E-2</v>
      </c>
      <c r="AJ40">
        <v>75925</v>
      </c>
      <c r="AK40" s="1">
        <v>2.3330800000000003E-10</v>
      </c>
      <c r="AL40" s="1">
        <v>2.3258666666666665E-10</v>
      </c>
      <c r="AM40">
        <v>1.2579999999999999E-2</v>
      </c>
      <c r="AN40" s="1">
        <f t="shared" si="10"/>
        <v>1.075533714728268</v>
      </c>
      <c r="AO40">
        <f t="shared" si="15"/>
        <v>1.2579999999999999E-2</v>
      </c>
      <c r="AS40" s="1"/>
      <c r="AT40" s="1"/>
      <c r="AV40" s="1"/>
      <c r="BA40" s="1"/>
      <c r="BB40" s="1"/>
      <c r="BD40" s="1"/>
    </row>
    <row r="41" spans="2:56" x14ac:dyDescent="0.25">
      <c r="B41">
        <v>80920</v>
      </c>
      <c r="C41" s="1">
        <v>1.4869600000000001E-10</v>
      </c>
      <c r="D41" s="1">
        <v>1.4868266666666668E-10</v>
      </c>
      <c r="E41">
        <v>1.189E-2</v>
      </c>
      <c r="F41" s="1">
        <f t="shared" ref="F41" si="107">(C41*A$9)/(A$12*A$5)</f>
        <v>0.68547825726179346</v>
      </c>
      <c r="G41" s="1">
        <f t="shared" si="5"/>
        <v>0.69547825726179346</v>
      </c>
      <c r="H41">
        <f t="shared" si="1"/>
        <v>1.189E-2</v>
      </c>
      <c r="I41">
        <f t="shared" si="6"/>
        <v>1.3389999999999999E-2</v>
      </c>
      <c r="K41">
        <v>80920</v>
      </c>
      <c r="L41" s="1">
        <v>9.5789099999999997E-11</v>
      </c>
      <c r="M41" s="1">
        <v>9.5782766666666652E-11</v>
      </c>
      <c r="N41">
        <v>1.124E-2</v>
      </c>
      <c r="O41" s="1">
        <f t="shared" ref="O41" si="108">(L41*J$9)/(J$12*J$5)</f>
        <v>0.44158111403585609</v>
      </c>
      <c r="P41" s="1">
        <f t="shared" si="7"/>
        <v>0.4515811140358561</v>
      </c>
      <c r="Q41">
        <f t="shared" ref="Q41" si="109">N41</f>
        <v>1.124E-2</v>
      </c>
      <c r="R41">
        <f t="shared" si="8"/>
        <v>1.1390000000000001E-2</v>
      </c>
      <c r="T41">
        <v>80920</v>
      </c>
      <c r="U41" s="1">
        <v>9.4331966666666664E-11</v>
      </c>
      <c r="V41" s="1">
        <v>9.4325133333333328E-11</v>
      </c>
      <c r="W41">
        <v>1.082E-2</v>
      </c>
      <c r="X41" s="1">
        <f t="shared" ref="X41" si="110">(U41*S$9)/(S$12*S$5)</f>
        <v>0.43486383032996351</v>
      </c>
      <c r="Y41">
        <f t="shared" ref="Y41" si="111">W41</f>
        <v>1.082E-2</v>
      </c>
      <c r="AB41">
        <v>80920</v>
      </c>
      <c r="AC41" s="1">
        <v>1.4661899999999997E-10</v>
      </c>
      <c r="AD41" s="1">
        <v>1.4660033333333333E-10</v>
      </c>
      <c r="AE41">
        <v>1.2359999999999999E-2</v>
      </c>
      <c r="AF41" s="1">
        <f t="shared" ref="AF41" si="112">(AC41*AA$9)/(AA$12*AA$5)</f>
        <v>0.67590343117142948</v>
      </c>
      <c r="AG41">
        <f t="shared" ref="AG41" si="113">AE41</f>
        <v>1.2359999999999999E-2</v>
      </c>
      <c r="AJ41">
        <v>80920</v>
      </c>
      <c r="AK41" s="1">
        <v>2.3280900000000001E-10</v>
      </c>
      <c r="AL41" s="1">
        <v>2.3208333333333331E-10</v>
      </c>
      <c r="AM41">
        <v>1.2930000000000001E-2</v>
      </c>
      <c r="AN41" s="1">
        <f t="shared" si="10"/>
        <v>1.0732333593026098</v>
      </c>
      <c r="AO41">
        <f t="shared" si="15"/>
        <v>1.2930000000000001E-2</v>
      </c>
      <c r="AS41" s="1"/>
      <c r="AT41" s="1"/>
      <c r="AV41" s="1"/>
      <c r="BA41" s="1"/>
      <c r="BB41" s="1"/>
      <c r="BD41" s="1"/>
    </row>
    <row r="42" spans="2:56" x14ac:dyDescent="0.25">
      <c r="B42">
        <v>85915</v>
      </c>
      <c r="C42" s="1">
        <v>1.4865633333333334E-10</v>
      </c>
      <c r="D42" s="1">
        <v>1.4864233333333333E-10</v>
      </c>
      <c r="E42">
        <v>1.226E-2</v>
      </c>
      <c r="F42" s="1">
        <f t="shared" ref="F42" si="114">(C42*A$9)/(A$12*A$5)</f>
        <v>0.6852953966768548</v>
      </c>
      <c r="G42" s="1">
        <f t="shared" si="5"/>
        <v>0.6952953966768548</v>
      </c>
      <c r="H42">
        <f t="shared" si="1"/>
        <v>1.226E-2</v>
      </c>
      <c r="I42">
        <f t="shared" si="6"/>
        <v>1.376E-2</v>
      </c>
      <c r="K42">
        <v>85915</v>
      </c>
      <c r="L42" s="1">
        <v>9.5767433333333334E-11</v>
      </c>
      <c r="M42" s="1">
        <v>9.5760733333333331E-11</v>
      </c>
      <c r="N42">
        <v>1.155E-2</v>
      </c>
      <c r="O42" s="1">
        <f t="shared" ref="O42" si="115">(L42*J$9)/(J$12*J$5)</f>
        <v>0.44148123220374669</v>
      </c>
      <c r="P42" s="1">
        <f t="shared" si="7"/>
        <v>0.4514812322037467</v>
      </c>
      <c r="Q42">
        <f t="shared" ref="Q42" si="116">N42</f>
        <v>1.155E-2</v>
      </c>
      <c r="R42">
        <f t="shared" si="8"/>
        <v>1.17E-2</v>
      </c>
      <c r="T42">
        <v>85915</v>
      </c>
      <c r="U42" s="1">
        <v>9.4304666666666659E-11</v>
      </c>
      <c r="V42" s="1">
        <v>9.4297433333333338E-11</v>
      </c>
      <c r="W42">
        <v>1.11E-2</v>
      </c>
      <c r="X42" s="1">
        <f t="shared" ref="X42" si="117">(U42*S$9)/(S$12*S$5)</f>
        <v>0.43473797922150564</v>
      </c>
      <c r="Y42">
        <f t="shared" ref="Y42" si="118">W42</f>
        <v>1.11E-2</v>
      </c>
      <c r="AB42">
        <v>85915</v>
      </c>
      <c r="AC42" s="1">
        <v>1.4656966666666665E-10</v>
      </c>
      <c r="AD42" s="1">
        <v>1.4655033333333335E-10</v>
      </c>
      <c r="AE42">
        <v>1.268E-2</v>
      </c>
      <c r="AF42" s="1">
        <f t="shared" ref="AF42" si="119">(AC42*AA$9)/(AA$12*AA$5)</f>
        <v>0.67567600792293425</v>
      </c>
      <c r="AG42">
        <f t="shared" ref="AG42" si="120">AE42</f>
        <v>1.268E-2</v>
      </c>
      <c r="AJ42">
        <v>85915</v>
      </c>
      <c r="AK42" s="1">
        <v>2.3233666666666668E-10</v>
      </c>
      <c r="AL42" s="1">
        <v>2.3160766666666668E-10</v>
      </c>
      <c r="AM42">
        <v>1.328E-2</v>
      </c>
      <c r="AN42" s="1">
        <f t="shared" si="10"/>
        <v>1.071055935362625</v>
      </c>
      <c r="AO42">
        <f t="shared" si="15"/>
        <v>1.328E-2</v>
      </c>
      <c r="AS42" s="1"/>
      <c r="AT42" s="1"/>
      <c r="AV42" s="1"/>
      <c r="BA42" s="1"/>
      <c r="BB42" s="1"/>
      <c r="BD42" s="1"/>
    </row>
    <row r="43" spans="2:56" x14ac:dyDescent="0.25">
      <c r="B43">
        <v>90910</v>
      </c>
      <c r="C43" s="1">
        <v>1.4862266666666668E-10</v>
      </c>
      <c r="D43" s="1">
        <v>1.4860766666666666E-10</v>
      </c>
      <c r="E43">
        <v>1.26E-2</v>
      </c>
      <c r="F43" s="1">
        <f t="shared" ref="F43" si="121">(C43*A$9)/(A$12*A$5)</f>
        <v>0.68514019567619255</v>
      </c>
      <c r="G43" s="1">
        <f t="shared" si="5"/>
        <v>0.69514019567619256</v>
      </c>
      <c r="H43">
        <f t="shared" si="1"/>
        <v>1.26E-2</v>
      </c>
      <c r="I43">
        <f t="shared" si="6"/>
        <v>1.41E-2</v>
      </c>
      <c r="K43">
        <v>90910</v>
      </c>
      <c r="L43" s="1">
        <v>9.5750266666666658E-11</v>
      </c>
      <c r="M43" s="1">
        <v>9.5742499999999993E-11</v>
      </c>
      <c r="N43">
        <v>1.1780000000000001E-2</v>
      </c>
      <c r="O43" s="1">
        <f t="shared" ref="O43" si="122">(L43*J$9)/(J$12*J$5)</f>
        <v>0.44140209505984457</v>
      </c>
      <c r="P43" s="1">
        <f t="shared" si="7"/>
        <v>0.45140209505984458</v>
      </c>
      <c r="Q43">
        <f t="shared" ref="Q43" si="123">N43</f>
        <v>1.1780000000000001E-2</v>
      </c>
      <c r="R43">
        <f t="shared" si="8"/>
        <v>1.1930000000000001E-2</v>
      </c>
      <c r="T43">
        <v>90910</v>
      </c>
      <c r="U43" s="1">
        <v>9.4282433333333326E-11</v>
      </c>
      <c r="V43" s="1">
        <v>9.4274800000000006E-11</v>
      </c>
      <c r="W43">
        <v>1.1379999999999999E-2</v>
      </c>
      <c r="X43" s="1">
        <f t="shared" ref="X43" si="124">(U43*S$9)/(S$12*S$5)</f>
        <v>0.43463548509532568</v>
      </c>
      <c r="Y43">
        <f t="shared" ref="Y43" si="125">W43</f>
        <v>1.1379999999999999E-2</v>
      </c>
      <c r="AB43">
        <v>90910</v>
      </c>
      <c r="AC43" s="1">
        <v>1.4652566666666668E-10</v>
      </c>
      <c r="AD43" s="1">
        <v>1.4650533333333335E-10</v>
      </c>
      <c r="AE43">
        <v>1.2999999999999999E-2</v>
      </c>
      <c r="AF43" s="1">
        <f t="shared" ref="AF43" si="126">(AC43*AA$9)/(AA$12*AA$5)</f>
        <v>0.67547317097157378</v>
      </c>
      <c r="AG43">
        <f t="shared" ref="AG43" si="127">AE43</f>
        <v>1.2999999999999999E-2</v>
      </c>
      <c r="AJ43">
        <v>90910</v>
      </c>
      <c r="AK43" s="1">
        <v>2.3189566666666667E-10</v>
      </c>
      <c r="AL43" s="1">
        <v>2.3116233333333332E-10</v>
      </c>
      <c r="AM43">
        <v>1.3610000000000001E-2</v>
      </c>
      <c r="AN43" s="1">
        <f t="shared" si="10"/>
        <v>1.069022955918306</v>
      </c>
      <c r="AO43">
        <f t="shared" si="15"/>
        <v>1.3610000000000001E-2</v>
      </c>
      <c r="AS43" s="1"/>
      <c r="AT43" s="1"/>
      <c r="AV43" s="1"/>
      <c r="BA43" s="1"/>
      <c r="BB43" s="1"/>
      <c r="BD43" s="1"/>
    </row>
    <row r="44" spans="2:56" x14ac:dyDescent="0.25">
      <c r="B44">
        <v>95905</v>
      </c>
      <c r="C44" s="1">
        <v>1.4859833333333334E-10</v>
      </c>
      <c r="D44" s="1">
        <v>1.4858266666666667E-10</v>
      </c>
      <c r="E44">
        <v>1.299E-2</v>
      </c>
      <c r="F44" s="1">
        <f t="shared" ref="F44" si="128">(C44*A$9)/(A$12*A$5)</f>
        <v>0.6850280206955156</v>
      </c>
      <c r="G44" s="1">
        <f t="shared" si="5"/>
        <v>0.69502802069551561</v>
      </c>
      <c r="H44">
        <f t="shared" si="1"/>
        <v>1.299E-2</v>
      </c>
      <c r="I44">
        <f t="shared" si="6"/>
        <v>1.4489999999999999E-2</v>
      </c>
      <c r="K44">
        <v>95905</v>
      </c>
      <c r="L44" s="1">
        <v>9.573859999999999E-11</v>
      </c>
      <c r="M44" s="1">
        <v>9.5730766666666672E-11</v>
      </c>
      <c r="N44">
        <v>1.206E-2</v>
      </c>
      <c r="O44" s="1">
        <f t="shared" ref="O44" si="129">(L44*J$9)/(J$12*J$5)</f>
        <v>0.44134831253486256</v>
      </c>
      <c r="P44" s="1">
        <f t="shared" si="7"/>
        <v>0.45134831253486257</v>
      </c>
      <c r="Q44">
        <f t="shared" ref="Q44" si="130">N44</f>
        <v>1.206E-2</v>
      </c>
      <c r="R44">
        <f t="shared" si="8"/>
        <v>1.221E-2</v>
      </c>
      <c r="T44">
        <v>95905</v>
      </c>
      <c r="U44" s="1">
        <v>9.4269566666666663E-11</v>
      </c>
      <c r="V44" s="1">
        <v>9.4261466666666666E-11</v>
      </c>
      <c r="W44">
        <v>1.1679999999999999E-2</v>
      </c>
      <c r="X44" s="1">
        <f t="shared" ref="X44" si="131">(U44*S$9)/(S$12*S$5)</f>
        <v>0.43457617065348847</v>
      </c>
      <c r="Y44">
        <f t="shared" ref="Y44" si="132">W44</f>
        <v>1.1679999999999999E-2</v>
      </c>
      <c r="AB44">
        <v>95905</v>
      </c>
      <c r="AC44" s="1">
        <v>1.4648899999999999E-10</v>
      </c>
      <c r="AD44" s="1">
        <v>1.4646700000000001E-10</v>
      </c>
      <c r="AE44">
        <v>1.3390000000000001E-2</v>
      </c>
      <c r="AF44" s="1">
        <f t="shared" ref="AF44" si="133">(AC44*AA$9)/(AA$12*AA$5)</f>
        <v>0.67530414017877316</v>
      </c>
      <c r="AG44">
        <f t="shared" ref="AG44" si="134">AE44</f>
        <v>1.3390000000000001E-2</v>
      </c>
      <c r="AJ44">
        <v>95905</v>
      </c>
      <c r="AK44" s="1">
        <v>2.3147199999999997E-10</v>
      </c>
      <c r="AL44" s="1">
        <v>2.3073366666666668E-10</v>
      </c>
      <c r="AM44">
        <v>1.3939999999999999E-2</v>
      </c>
      <c r="AN44" s="1">
        <f t="shared" si="10"/>
        <v>1.0670698819396744</v>
      </c>
      <c r="AO44">
        <f t="shared" si="15"/>
        <v>1.3939999999999999E-2</v>
      </c>
      <c r="AS44" s="1"/>
      <c r="AT44" s="1"/>
      <c r="AV44" s="1"/>
      <c r="BA44" s="1"/>
      <c r="BB44" s="1"/>
      <c r="BD44" s="1"/>
    </row>
    <row r="45" spans="2:56" x14ac:dyDescent="0.25">
      <c r="B45">
        <v>100900</v>
      </c>
      <c r="C45" s="1">
        <v>1.4854733333333334E-10</v>
      </c>
      <c r="D45" s="1">
        <v>1.4853066666666667E-10</v>
      </c>
      <c r="E45">
        <v>1.329E-2</v>
      </c>
      <c r="F45" s="1">
        <f t="shared" ref="F45" si="135">(C45*A$9)/(A$12*A$5)</f>
        <v>0.68479291422916577</v>
      </c>
      <c r="G45" s="1">
        <f t="shared" si="5"/>
        <v>0.69479291422916578</v>
      </c>
      <c r="H45">
        <f t="shared" si="1"/>
        <v>1.329E-2</v>
      </c>
      <c r="I45">
        <f t="shared" si="6"/>
        <v>1.4789999999999999E-2</v>
      </c>
      <c r="K45">
        <v>100900</v>
      </c>
      <c r="L45" s="1">
        <v>9.5706333333333322E-11</v>
      </c>
      <c r="M45" s="1">
        <v>9.5698100000000005E-11</v>
      </c>
      <c r="N45">
        <v>1.2460000000000001E-2</v>
      </c>
      <c r="O45" s="1">
        <f t="shared" ref="O45" si="136">(L45*J$9)/(J$12*J$5)</f>
        <v>0.44119956543719813</v>
      </c>
      <c r="P45" s="1">
        <f t="shared" si="7"/>
        <v>0.45119956543719814</v>
      </c>
      <c r="Q45">
        <f t="shared" ref="Q45" si="137">N45</f>
        <v>1.2460000000000001E-2</v>
      </c>
      <c r="R45">
        <f t="shared" si="8"/>
        <v>1.2610000000000001E-2</v>
      </c>
      <c r="T45">
        <v>100900</v>
      </c>
      <c r="U45" s="1">
        <v>9.4232933333333328E-11</v>
      </c>
      <c r="V45" s="1">
        <v>9.4224499999999999E-11</v>
      </c>
      <c r="W45">
        <v>1.2E-2</v>
      </c>
      <c r="X45" s="1">
        <f t="shared" ref="X45" si="138">(U45*S$9)/(S$12*S$5)</f>
        <v>0.43440729352504498</v>
      </c>
      <c r="Y45">
        <f t="shared" ref="Y45" si="139">W45</f>
        <v>1.2E-2</v>
      </c>
      <c r="AB45">
        <v>100900</v>
      </c>
      <c r="AC45" s="1">
        <v>1.4643099999999999E-10</v>
      </c>
      <c r="AD45" s="1">
        <v>1.4640833333333334E-10</v>
      </c>
      <c r="AE45">
        <v>1.372E-2</v>
      </c>
      <c r="AF45" s="1">
        <f t="shared" ref="AF45" si="140">(AC45*AA$9)/(AA$12*AA$5)</f>
        <v>0.67503676419743419</v>
      </c>
      <c r="AG45">
        <f t="shared" ref="AG45" si="141">AE45</f>
        <v>1.372E-2</v>
      </c>
      <c r="AJ45">
        <v>100900</v>
      </c>
      <c r="AK45" s="1">
        <v>2.3105733333333335E-10</v>
      </c>
      <c r="AL45" s="1">
        <v>2.3031466666666665E-10</v>
      </c>
      <c r="AM45">
        <v>1.423E-2</v>
      </c>
      <c r="AN45" s="1">
        <f t="shared" si="10"/>
        <v>1.0651582973374578</v>
      </c>
      <c r="AO45">
        <f t="shared" si="15"/>
        <v>1.423E-2</v>
      </c>
      <c r="AS45" s="1"/>
      <c r="AT45" s="1"/>
      <c r="AV45" s="1"/>
      <c r="BA45" s="1"/>
      <c r="BB45" s="1"/>
      <c r="BD45" s="1"/>
    </row>
    <row r="46" spans="2:56" x14ac:dyDescent="0.25">
      <c r="B46">
        <v>105900</v>
      </c>
      <c r="C46" s="1">
        <v>1.4851066666666668E-10</v>
      </c>
      <c r="D46" s="1">
        <v>1.4849333333333334E-10</v>
      </c>
      <c r="E46">
        <v>1.3639999999999999E-2</v>
      </c>
      <c r="F46" s="1">
        <f t="shared" ref="F46" si="142">(C46*A$9)/(A$12*A$5)</f>
        <v>0.68462388343636538</v>
      </c>
      <c r="G46" s="1">
        <f t="shared" si="5"/>
        <v>0.69462388343636539</v>
      </c>
      <c r="H46">
        <f t="shared" si="1"/>
        <v>1.3639999999999999E-2</v>
      </c>
      <c r="I46">
        <f t="shared" si="6"/>
        <v>1.5139999999999999E-2</v>
      </c>
      <c r="K46">
        <v>105900</v>
      </c>
      <c r="L46" s="1">
        <v>9.5687133333333328E-11</v>
      </c>
      <c r="M46" s="1">
        <v>9.5678499999999999E-11</v>
      </c>
      <c r="N46">
        <v>1.257E-2</v>
      </c>
      <c r="O46" s="1">
        <f t="shared" ref="O46" si="143">(L46*J$9)/(J$12*J$5)</f>
        <v>0.4411110547675135</v>
      </c>
      <c r="P46" s="1">
        <f t="shared" si="7"/>
        <v>0.45111105476751351</v>
      </c>
      <c r="Q46">
        <f t="shared" ref="Q46" si="144">N46</f>
        <v>1.257E-2</v>
      </c>
      <c r="R46">
        <f t="shared" si="8"/>
        <v>1.272E-2</v>
      </c>
      <c r="T46">
        <v>105900</v>
      </c>
      <c r="U46" s="1">
        <v>9.4210666666666667E-11</v>
      </c>
      <c r="V46" s="1">
        <v>9.42018E-11</v>
      </c>
      <c r="W46">
        <v>1.221E-2</v>
      </c>
      <c r="X46" s="1">
        <f t="shared" ref="X46" si="145">(U46*S$9)/(S$12*S$5)</f>
        <v>0.434304645734508</v>
      </c>
      <c r="Y46">
        <f t="shared" ref="Y46" si="146">W46</f>
        <v>1.221E-2</v>
      </c>
      <c r="AB46">
        <v>105900</v>
      </c>
      <c r="AC46" s="1">
        <v>1.4638733333333332E-10</v>
      </c>
      <c r="AD46" s="1">
        <v>1.4636366666666666E-10</v>
      </c>
      <c r="AE46">
        <v>1.397E-2</v>
      </c>
      <c r="AF46" s="1">
        <f t="shared" ref="AF46" si="147">(AC46*AA$9)/(AA$12*AA$5)</f>
        <v>0.67483546388964433</v>
      </c>
      <c r="AG46">
        <f t="shared" ref="AG46" si="148">AE46</f>
        <v>1.397E-2</v>
      </c>
      <c r="AJ46">
        <v>105900</v>
      </c>
      <c r="AK46" s="1">
        <v>2.3067466666666666E-10</v>
      </c>
      <c r="AL46" s="1">
        <v>2.2992833333333333E-10</v>
      </c>
      <c r="AM46">
        <v>1.456E-2</v>
      </c>
      <c r="AN46" s="1">
        <f t="shared" si="10"/>
        <v>1.0633942305180488</v>
      </c>
      <c r="AO46">
        <f t="shared" si="15"/>
        <v>1.456E-2</v>
      </c>
      <c r="AS46" s="1"/>
      <c r="AT46" s="1"/>
      <c r="AV46" s="1"/>
      <c r="BA46" s="1"/>
      <c r="BB46" s="1"/>
      <c r="BD46" s="1"/>
    </row>
    <row r="47" spans="2:56" x14ac:dyDescent="0.25">
      <c r="B47">
        <v>110890</v>
      </c>
      <c r="C47" s="1">
        <v>1.4847366666666667E-10</v>
      </c>
      <c r="D47" s="1">
        <v>1.4845500000000001E-10</v>
      </c>
      <c r="E47">
        <v>1.388E-2</v>
      </c>
      <c r="F47" s="1">
        <f t="shared" ref="F47" si="149">(C47*A$9)/(A$12*A$5)</f>
        <v>0.68445331599999393</v>
      </c>
      <c r="G47" s="1">
        <f t="shared" si="5"/>
        <v>0.69445331599999394</v>
      </c>
      <c r="H47">
        <f t="shared" si="1"/>
        <v>1.388E-2</v>
      </c>
      <c r="I47">
        <f t="shared" si="6"/>
        <v>1.538E-2</v>
      </c>
      <c r="K47">
        <v>110890</v>
      </c>
      <c r="L47" s="1">
        <v>9.5668933333333329E-11</v>
      </c>
      <c r="M47" s="1">
        <v>9.5660233333333335E-11</v>
      </c>
      <c r="N47">
        <v>1.29E-2</v>
      </c>
      <c r="O47" s="1">
        <f t="shared" ref="O47" si="150">(L47*J$9)/(J$12*J$5)</f>
        <v>0.44102715402854159</v>
      </c>
      <c r="P47" s="1">
        <f t="shared" si="7"/>
        <v>0.4510271540285416</v>
      </c>
      <c r="Q47">
        <f t="shared" ref="Q47" si="151">N47</f>
        <v>1.29E-2</v>
      </c>
      <c r="R47">
        <f t="shared" si="8"/>
        <v>1.3050000000000001E-2</v>
      </c>
      <c r="T47">
        <v>110890</v>
      </c>
      <c r="U47" s="1">
        <v>9.4189133333333324E-11</v>
      </c>
      <c r="V47" s="1">
        <v>9.4179900000000012E-11</v>
      </c>
      <c r="W47">
        <v>1.2489999999999999E-2</v>
      </c>
      <c r="X47" s="1">
        <f t="shared" ref="X47" si="152">(U47*S$9)/(S$12*S$5)</f>
        <v>0.43420537855982688</v>
      </c>
      <c r="Y47">
        <f t="shared" ref="Y47" si="153">W47</f>
        <v>1.2489999999999999E-2</v>
      </c>
      <c r="AB47">
        <v>110890</v>
      </c>
      <c r="AC47" s="1">
        <v>1.46342E-10</v>
      </c>
      <c r="AD47" s="1">
        <v>1.4631699999999999E-10</v>
      </c>
      <c r="AE47">
        <v>1.421E-2</v>
      </c>
      <c r="AF47" s="1">
        <f t="shared" ref="AF47" si="154">(AC47*AA$9)/(AA$12*AA$5)</f>
        <v>0.67462648036400019</v>
      </c>
      <c r="AG47">
        <f t="shared" ref="AG47" si="155">AE47</f>
        <v>1.421E-2</v>
      </c>
      <c r="AJ47">
        <v>110890</v>
      </c>
      <c r="AK47" s="1">
        <v>2.3030766666666664E-10</v>
      </c>
      <c r="AL47" s="1">
        <v>2.2955633333333334E-10</v>
      </c>
      <c r="AM47">
        <v>1.4829999999999999E-2</v>
      </c>
      <c r="AN47" s="1">
        <f t="shared" si="10"/>
        <v>1.0617023859464725</v>
      </c>
      <c r="AO47">
        <f t="shared" si="15"/>
        <v>1.4829999999999999E-2</v>
      </c>
      <c r="AS47" s="1"/>
      <c r="AT47" s="1"/>
      <c r="AV47" s="1"/>
      <c r="BA47" s="1"/>
      <c r="BB47" s="1"/>
      <c r="BD47" s="1"/>
    </row>
    <row r="48" spans="2:56" x14ac:dyDescent="0.25">
      <c r="B48">
        <v>115890</v>
      </c>
      <c r="C48" s="1">
        <v>1.4843733333333333E-10</v>
      </c>
      <c r="D48" s="1">
        <v>1.4841833333333334E-10</v>
      </c>
      <c r="E48">
        <v>1.4200000000000001E-2</v>
      </c>
      <c r="F48" s="1">
        <f t="shared" ref="F48" si="156">(C48*A$9)/(A$12*A$5)</f>
        <v>0.68428582185076425</v>
      </c>
      <c r="G48" s="1">
        <f t="shared" si="5"/>
        <v>0.69428582185076426</v>
      </c>
      <c r="H48">
        <f t="shared" si="1"/>
        <v>1.4200000000000001E-2</v>
      </c>
      <c r="I48">
        <f t="shared" si="6"/>
        <v>1.5700000000000002E-2</v>
      </c>
      <c r="K48">
        <v>115890</v>
      </c>
      <c r="L48" s="1">
        <v>9.5634666666666669E-11</v>
      </c>
      <c r="M48" s="1">
        <v>9.5625233333333345E-11</v>
      </c>
      <c r="N48">
        <v>1.306E-2</v>
      </c>
      <c r="O48" s="1">
        <f t="shared" ref="O48" si="157">(L48*J$9)/(J$12*J$5)</f>
        <v>0.44086918706945172</v>
      </c>
      <c r="P48" s="1">
        <f t="shared" si="7"/>
        <v>0.45086918706945173</v>
      </c>
      <c r="Q48">
        <f t="shared" ref="Q48" si="158">N48</f>
        <v>1.306E-2</v>
      </c>
      <c r="R48">
        <f t="shared" si="8"/>
        <v>1.3210000000000001E-2</v>
      </c>
      <c r="T48">
        <v>115890</v>
      </c>
      <c r="U48" s="1">
        <v>9.4163699999999991E-11</v>
      </c>
      <c r="V48" s="1">
        <v>9.4154166666666661E-11</v>
      </c>
      <c r="W48">
        <v>1.2710000000000001E-2</v>
      </c>
      <c r="X48" s="1">
        <f t="shared" ref="X48" si="159">(U48*S$9)/(S$12*S$5)</f>
        <v>0.43408813265536617</v>
      </c>
      <c r="Y48">
        <f t="shared" ref="Y48" si="160">W48</f>
        <v>1.2710000000000001E-2</v>
      </c>
      <c r="AB48">
        <v>115890</v>
      </c>
      <c r="AC48" s="1">
        <v>1.4630166666666667E-10</v>
      </c>
      <c r="AD48" s="1">
        <v>1.4627666666666667E-10</v>
      </c>
      <c r="AE48">
        <v>1.4460000000000001E-2</v>
      </c>
      <c r="AF48" s="1">
        <f t="shared" ref="AF48" si="161">(AC48*AA$9)/(AA$12*AA$5)</f>
        <v>0.67444054649191965</v>
      </c>
      <c r="AG48">
        <f t="shared" ref="AG48" si="162">AE48</f>
        <v>1.4460000000000001E-2</v>
      </c>
      <c r="AJ48">
        <v>115890</v>
      </c>
      <c r="AK48" s="1">
        <v>2.2995533333333333E-10</v>
      </c>
      <c r="AL48" s="1">
        <v>2.29201E-10</v>
      </c>
      <c r="AM48">
        <v>1.508E-2</v>
      </c>
      <c r="AN48" s="1">
        <f t="shared" si="10"/>
        <v>1.0600781536920167</v>
      </c>
      <c r="AO48">
        <f t="shared" si="15"/>
        <v>1.508E-2</v>
      </c>
      <c r="AS48" s="1"/>
      <c r="AT48" s="1"/>
      <c r="AV48" s="1"/>
      <c r="BA48" s="1"/>
      <c r="BB48" s="1"/>
      <c r="BD48" s="1"/>
    </row>
    <row r="49" spans="2:56" x14ac:dyDescent="0.25">
      <c r="B49">
        <v>120880</v>
      </c>
      <c r="C49" s="1">
        <v>1.4840033333333334E-10</v>
      </c>
      <c r="D49" s="1">
        <v>1.4838000000000001E-10</v>
      </c>
      <c r="E49">
        <v>1.448E-2</v>
      </c>
      <c r="F49" s="1">
        <f t="shared" ref="F49" si="163">(C49*A$9)/(A$12*A$5)</f>
        <v>0.68411525441439291</v>
      </c>
      <c r="G49" s="1">
        <f t="shared" si="5"/>
        <v>0.69411525441439292</v>
      </c>
      <c r="H49">
        <f t="shared" si="1"/>
        <v>1.448E-2</v>
      </c>
      <c r="I49">
        <f t="shared" si="6"/>
        <v>1.5980000000000001E-2</v>
      </c>
      <c r="K49">
        <v>120880</v>
      </c>
      <c r="L49" s="1">
        <v>9.5616299999999998E-11</v>
      </c>
      <c r="M49" s="1">
        <v>9.5606133333333331E-11</v>
      </c>
      <c r="N49">
        <v>1.336E-2</v>
      </c>
      <c r="O49" s="1">
        <f t="shared" ref="O49" si="164">(L49*J$9)/(J$12*J$5)</f>
        <v>0.44078451800869434</v>
      </c>
      <c r="P49" s="1">
        <f t="shared" si="7"/>
        <v>0.45078451800869435</v>
      </c>
      <c r="Q49">
        <f t="shared" ref="Q49" si="165">N49</f>
        <v>1.336E-2</v>
      </c>
      <c r="R49">
        <f t="shared" si="8"/>
        <v>1.3510000000000001E-2</v>
      </c>
      <c r="T49">
        <v>120880</v>
      </c>
      <c r="U49" s="1">
        <v>9.4141033333333333E-11</v>
      </c>
      <c r="V49" s="1">
        <v>9.4131166666666657E-11</v>
      </c>
      <c r="W49">
        <v>1.2930000000000001E-2</v>
      </c>
      <c r="X49" s="1">
        <f t="shared" ref="X49" si="166">(U49*S$9)/(S$12*S$5)</f>
        <v>0.4339836408925441</v>
      </c>
      <c r="Y49">
        <f t="shared" ref="Y49" si="167">W49</f>
        <v>1.2930000000000001E-2</v>
      </c>
      <c r="AB49">
        <v>120880</v>
      </c>
      <c r="AC49" s="1">
        <v>1.4625299999999999E-10</v>
      </c>
      <c r="AD49" s="1">
        <v>1.4622666666666668E-10</v>
      </c>
      <c r="AE49">
        <v>1.474E-2</v>
      </c>
      <c r="AF49" s="1">
        <f t="shared" ref="AF49" si="168">(AC49*AA$9)/(AA$12*AA$5)</f>
        <v>0.67421619653056608</v>
      </c>
      <c r="AG49">
        <f t="shared" ref="AG49" si="169">AE49</f>
        <v>1.474E-2</v>
      </c>
      <c r="AJ49">
        <v>120880</v>
      </c>
      <c r="AK49" s="1">
        <v>2.2962066666666669E-10</v>
      </c>
      <c r="AL49" s="1">
        <v>2.2886266666666665E-10</v>
      </c>
      <c r="AM49">
        <v>1.5339999999999999E-2</v>
      </c>
      <c r="AN49" s="1">
        <f t="shared" si="10"/>
        <v>1.0585353635468195</v>
      </c>
      <c r="AO49">
        <f t="shared" si="15"/>
        <v>1.5339999999999999E-2</v>
      </c>
      <c r="AS49" s="1"/>
      <c r="AT49" s="1"/>
      <c r="AV49" s="1"/>
      <c r="BA49" s="1"/>
      <c r="BB49" s="1"/>
      <c r="BD49" s="1"/>
    </row>
    <row r="50" spans="2:56" x14ac:dyDescent="0.25">
      <c r="B50">
        <v>125880</v>
      </c>
      <c r="C50" s="1">
        <v>1.483596666666667E-10</v>
      </c>
      <c r="D50" s="1">
        <v>1.4833899999999999E-10</v>
      </c>
      <c r="E50">
        <v>1.4789999999999999E-2</v>
      </c>
      <c r="F50" s="1">
        <f t="shared" ref="F50" si="170">(C50*A$9)/(A$12*A$5)</f>
        <v>0.68392778389874165</v>
      </c>
      <c r="G50" s="1">
        <f t="shared" si="5"/>
        <v>0.69392778389874166</v>
      </c>
      <c r="H50">
        <f t="shared" si="1"/>
        <v>1.4789999999999999E-2</v>
      </c>
      <c r="I50">
        <f t="shared" si="6"/>
        <v>1.6289999999999999E-2</v>
      </c>
      <c r="K50">
        <v>125880</v>
      </c>
      <c r="L50" s="1">
        <v>9.5594366666666657E-11</v>
      </c>
      <c r="M50" s="1">
        <v>9.5584166666666675E-11</v>
      </c>
      <c r="N50">
        <v>1.353E-2</v>
      </c>
      <c r="O50" s="1">
        <f t="shared" ref="O50" si="171">(L50*J$9)/(J$12*J$5)</f>
        <v>0.44068340686172819</v>
      </c>
      <c r="P50" s="1">
        <f t="shared" si="7"/>
        <v>0.4506834068617282</v>
      </c>
      <c r="Q50">
        <f t="shared" ref="Q50" si="172">N50</f>
        <v>1.353E-2</v>
      </c>
      <c r="R50">
        <f t="shared" si="8"/>
        <v>1.3680000000000001E-2</v>
      </c>
      <c r="T50">
        <v>125880</v>
      </c>
      <c r="U50" s="1">
        <v>9.4116500000000003E-11</v>
      </c>
      <c r="V50" s="1">
        <v>9.4106266666666669E-11</v>
      </c>
      <c r="W50">
        <v>1.315E-2</v>
      </c>
      <c r="X50" s="1">
        <f t="shared" ref="X50" si="173">(U50*S$9)/(S$12*S$5)</f>
        <v>0.43387054392572483</v>
      </c>
      <c r="Y50">
        <f t="shared" ref="Y50" si="174">W50</f>
        <v>1.315E-2</v>
      </c>
      <c r="AB50">
        <v>125880</v>
      </c>
      <c r="AC50" s="1">
        <v>1.4621E-10</v>
      </c>
      <c r="AD50" s="1">
        <v>1.4618300000000001E-10</v>
      </c>
      <c r="AE50">
        <v>1.4999999999999999E-2</v>
      </c>
      <c r="AF50" s="1">
        <f t="shared" ref="AF50" si="175">(AC50*AA$9)/(AA$12*AA$5)</f>
        <v>0.67401796950991832</v>
      </c>
      <c r="AG50">
        <f t="shared" ref="AG50" si="176">AE50</f>
        <v>1.4999999999999999E-2</v>
      </c>
      <c r="AJ50">
        <v>125880</v>
      </c>
      <c r="AK50" s="1">
        <v>2.2929966666666665E-10</v>
      </c>
      <c r="AL50" s="1">
        <v>2.28538E-10</v>
      </c>
      <c r="AM50">
        <v>1.5630000000000002E-2</v>
      </c>
      <c r="AN50" s="1">
        <f t="shared" si="10"/>
        <v>1.0570555757880293</v>
      </c>
      <c r="AO50">
        <f t="shared" si="15"/>
        <v>1.5630000000000002E-2</v>
      </c>
      <c r="AS50" s="1"/>
      <c r="AT50" s="1"/>
      <c r="AV50" s="1"/>
      <c r="BA50" s="1"/>
      <c r="BB50" s="1"/>
      <c r="BD50" s="1"/>
    </row>
    <row r="51" spans="2:56" x14ac:dyDescent="0.25">
      <c r="B51">
        <v>130870</v>
      </c>
      <c r="C51" s="1">
        <v>1.4832066666666667E-10</v>
      </c>
      <c r="D51" s="1">
        <v>1.4829933333333336E-10</v>
      </c>
      <c r="E51">
        <v>1.504E-2</v>
      </c>
      <c r="F51" s="1">
        <f t="shared" ref="F51" si="177">(C51*A$9)/(A$12*A$5)</f>
        <v>0.68374799660094443</v>
      </c>
      <c r="G51" s="1">
        <f t="shared" si="5"/>
        <v>0.69374799660094444</v>
      </c>
      <c r="H51">
        <f t="shared" si="1"/>
        <v>1.504E-2</v>
      </c>
      <c r="I51">
        <f t="shared" si="6"/>
        <v>1.6539999999999999E-2</v>
      </c>
      <c r="K51">
        <v>130870</v>
      </c>
      <c r="L51" s="1">
        <v>9.5573966666666668E-11</v>
      </c>
      <c r="M51" s="1">
        <v>9.5563733333333334E-11</v>
      </c>
      <c r="N51">
        <v>1.38E-2</v>
      </c>
      <c r="O51" s="1">
        <f t="shared" ref="O51" si="178">(L51*J$9)/(J$12*J$5)</f>
        <v>0.4405893642751883</v>
      </c>
      <c r="P51" s="1">
        <f t="shared" si="7"/>
        <v>0.45058936427518831</v>
      </c>
      <c r="Q51">
        <f t="shared" ref="Q51" si="179">N51</f>
        <v>1.38E-2</v>
      </c>
      <c r="R51">
        <f t="shared" si="8"/>
        <v>1.3950000000000001E-2</v>
      </c>
      <c r="T51">
        <v>130870</v>
      </c>
      <c r="U51" s="1">
        <v>9.4093700000000011E-11</v>
      </c>
      <c r="V51" s="1">
        <v>9.4083233333333326E-11</v>
      </c>
      <c r="W51">
        <v>1.332E-2</v>
      </c>
      <c r="X51" s="1">
        <f t="shared" ref="X51" si="180">(U51*S$9)/(S$12*S$5)</f>
        <v>0.43376543750547442</v>
      </c>
      <c r="Y51">
        <f t="shared" ref="Y51" si="181">W51</f>
        <v>1.332E-2</v>
      </c>
      <c r="AB51">
        <v>130870</v>
      </c>
      <c r="AC51" s="1">
        <v>1.4616800000000001E-10</v>
      </c>
      <c r="AD51" s="1">
        <v>1.4614033333333332E-10</v>
      </c>
      <c r="AE51">
        <v>1.529E-2</v>
      </c>
      <c r="AF51" s="1">
        <f t="shared" ref="AF51" si="182">(AC51*AA$9)/(AA$12*AA$5)</f>
        <v>0.67382435241998329</v>
      </c>
      <c r="AG51">
        <f t="shared" ref="AG51" si="183">AE51</f>
        <v>1.529E-2</v>
      </c>
      <c r="AJ51">
        <v>130870</v>
      </c>
      <c r="AK51" s="1">
        <v>2.2898433333333335E-10</v>
      </c>
      <c r="AL51" s="1">
        <v>2.2821999999999999E-10</v>
      </c>
      <c r="AM51">
        <v>1.5869999999999999E-2</v>
      </c>
      <c r="AN51" s="1">
        <f t="shared" si="10"/>
        <v>1.055601910969945</v>
      </c>
      <c r="AO51">
        <f t="shared" si="15"/>
        <v>1.5869999999999999E-2</v>
      </c>
      <c r="AS51" s="1"/>
      <c r="AT51" s="1"/>
      <c r="AV51" s="1"/>
      <c r="BA51" s="1"/>
      <c r="BB51" s="1"/>
      <c r="BD51" s="1"/>
    </row>
    <row r="52" spans="2:56" x14ac:dyDescent="0.25">
      <c r="B52">
        <v>135870</v>
      </c>
      <c r="C52" s="1">
        <v>1.4828266666666668E-10</v>
      </c>
      <c r="D52" s="1">
        <v>1.4826066666666668E-10</v>
      </c>
      <c r="E52">
        <v>1.5339999999999999E-2</v>
      </c>
      <c r="F52" s="1">
        <f t="shared" ref="F52" si="184">(C52*A$9)/(A$12*A$5)</f>
        <v>0.68357281923386037</v>
      </c>
      <c r="G52" s="1">
        <f t="shared" si="5"/>
        <v>0.69357281923386038</v>
      </c>
      <c r="H52">
        <f t="shared" si="1"/>
        <v>1.5339999999999999E-2</v>
      </c>
      <c r="I52">
        <f t="shared" si="6"/>
        <v>1.6840000000000001E-2</v>
      </c>
      <c r="K52">
        <v>135870</v>
      </c>
      <c r="L52" s="1">
        <v>9.5554799999999988E-11</v>
      </c>
      <c r="M52" s="1">
        <v>9.5543833333333349E-11</v>
      </c>
      <c r="N52">
        <v>1.3939999999999999E-2</v>
      </c>
      <c r="O52" s="1">
        <f t="shared" ref="O52" si="185">(L52*J$9)/(J$12*J$5)</f>
        <v>0.44050100726986069</v>
      </c>
      <c r="P52" s="1">
        <f t="shared" si="7"/>
        <v>0.4505010072698607</v>
      </c>
      <c r="Q52">
        <f t="shared" ref="Q52" si="186">N52</f>
        <v>1.3939999999999999E-2</v>
      </c>
      <c r="R52">
        <f t="shared" si="8"/>
        <v>1.409E-2</v>
      </c>
      <c r="T52">
        <v>135870</v>
      </c>
      <c r="U52" s="1">
        <v>9.4067700000000008E-11</v>
      </c>
      <c r="V52" s="1">
        <v>9.4056933333333343E-11</v>
      </c>
      <c r="W52">
        <v>1.3520000000000001E-2</v>
      </c>
      <c r="X52" s="1">
        <f t="shared" ref="X52" si="187">(U52*S$9)/(S$12*S$5)</f>
        <v>0.43364557930694309</v>
      </c>
      <c r="Y52">
        <f t="shared" ref="Y52" si="188">W52</f>
        <v>1.3520000000000001E-2</v>
      </c>
      <c r="AB52">
        <v>135870</v>
      </c>
      <c r="AC52" s="1">
        <v>1.4612100000000002E-10</v>
      </c>
      <c r="AD52" s="1">
        <v>1.4609266666666666E-10</v>
      </c>
      <c r="AE52">
        <v>1.553E-2</v>
      </c>
      <c r="AF52" s="1">
        <f t="shared" ref="AF52" si="189">(AC52*AA$9)/(AA$12*AA$5)</f>
        <v>0.67360768567648444</v>
      </c>
      <c r="AG52">
        <f t="shared" ref="AG52" si="190">AE52</f>
        <v>1.553E-2</v>
      </c>
      <c r="AJ52">
        <v>135870</v>
      </c>
      <c r="AK52" s="1">
        <v>2.2868233333333334E-10</v>
      </c>
      <c r="AL52" s="1">
        <v>2.2791500000000003E-10</v>
      </c>
      <c r="AM52">
        <v>1.6080000000000001E-2</v>
      </c>
      <c r="AN52" s="1">
        <f t="shared" si="10"/>
        <v>1.0542097118946969</v>
      </c>
      <c r="AO52">
        <f t="shared" si="15"/>
        <v>1.6080000000000001E-2</v>
      </c>
      <c r="AS52" s="1"/>
      <c r="AT52" s="1"/>
      <c r="AV52" s="1"/>
      <c r="BA52" s="1"/>
      <c r="BB52" s="1"/>
      <c r="BD52" s="1"/>
    </row>
    <row r="53" spans="2:56" x14ac:dyDescent="0.25">
      <c r="B53">
        <v>140860</v>
      </c>
      <c r="C53" s="1">
        <v>1.4826600000000001E-10</v>
      </c>
      <c r="D53" s="1">
        <v>1.4824233333333336E-10</v>
      </c>
      <c r="E53">
        <v>1.5709999999999998E-2</v>
      </c>
      <c r="F53" s="1">
        <f t="shared" ref="F53" si="191">(C53*A$9)/(A$12*A$5)</f>
        <v>0.68349598705531478</v>
      </c>
      <c r="G53" s="1">
        <f t="shared" si="5"/>
        <v>0.69349598705531479</v>
      </c>
      <c r="H53">
        <f t="shared" si="1"/>
        <v>1.5709999999999998E-2</v>
      </c>
      <c r="I53">
        <f t="shared" si="6"/>
        <v>1.721E-2</v>
      </c>
      <c r="K53">
        <v>140860</v>
      </c>
      <c r="L53" s="1">
        <v>9.5545133333333324E-11</v>
      </c>
      <c r="M53" s="1">
        <v>9.5533733333333335E-11</v>
      </c>
      <c r="N53">
        <v>1.4239999999999999E-2</v>
      </c>
      <c r="O53" s="1">
        <f t="shared" ref="O53" si="192">(L53*J$9)/(J$12*J$5)</f>
        <v>0.44045644460630423</v>
      </c>
      <c r="P53" s="1">
        <f t="shared" si="7"/>
        <v>0.45045644460630424</v>
      </c>
      <c r="Q53">
        <f t="shared" ref="Q53" si="193">N53</f>
        <v>1.4239999999999999E-2</v>
      </c>
      <c r="R53">
        <f t="shared" si="8"/>
        <v>1.439E-2</v>
      </c>
      <c r="T53">
        <v>140860</v>
      </c>
      <c r="U53" s="1">
        <v>9.4061566666666663E-11</v>
      </c>
      <c r="V53" s="1">
        <v>9.40502E-11</v>
      </c>
      <c r="W53">
        <v>1.3809999999999999E-2</v>
      </c>
      <c r="X53" s="1">
        <f t="shared" ref="X53" si="194">(U53*S$9)/(S$12*S$5)</f>
        <v>0.43361730506523821</v>
      </c>
      <c r="Y53">
        <f t="shared" ref="Y53" si="195">W53</f>
        <v>1.3809999999999999E-2</v>
      </c>
      <c r="AB53">
        <v>140860</v>
      </c>
      <c r="AC53" s="1">
        <v>1.4609566666666666E-10</v>
      </c>
      <c r="AD53" s="1">
        <v>1.4606633333333333E-10</v>
      </c>
      <c r="AE53">
        <v>1.584E-2</v>
      </c>
      <c r="AF53" s="1">
        <f t="shared" ref="AF53" si="196">(AC53*AA$9)/(AA$12*AA$5)</f>
        <v>0.67349090076509488</v>
      </c>
      <c r="AG53">
        <f t="shared" ref="AG53" si="197">AE53</f>
        <v>1.584E-2</v>
      </c>
      <c r="AJ53">
        <v>140860</v>
      </c>
      <c r="AK53" s="1">
        <v>2.2841599999999999E-10</v>
      </c>
      <c r="AL53" s="1">
        <v>2.2764333333333335E-10</v>
      </c>
      <c r="AM53">
        <v>1.644E-2</v>
      </c>
      <c r="AN53" s="1">
        <f t="shared" si="10"/>
        <v>1.0529819336815367</v>
      </c>
      <c r="AO53">
        <f t="shared" si="15"/>
        <v>1.644E-2</v>
      </c>
      <c r="AS53" s="1"/>
      <c r="AT53" s="1"/>
      <c r="AV53" s="1"/>
      <c r="BA53" s="1"/>
      <c r="BB53" s="1"/>
      <c r="BD53" s="1"/>
    </row>
    <row r="54" spans="2:56" x14ac:dyDescent="0.25">
      <c r="B54">
        <v>145860</v>
      </c>
      <c r="C54" s="1">
        <v>1.4822999999999999E-10</v>
      </c>
      <c r="D54" s="1">
        <v>1.4820600000000002E-10</v>
      </c>
      <c r="E54">
        <v>1.5910000000000001E-2</v>
      </c>
      <c r="F54" s="1">
        <f t="shared" ref="F54" si="198">(C54*A$9)/(A$12*A$5)</f>
        <v>0.68333002954965583</v>
      </c>
      <c r="G54" s="1">
        <f t="shared" si="5"/>
        <v>0.69333002954965584</v>
      </c>
      <c r="H54">
        <f t="shared" si="1"/>
        <v>1.5910000000000001E-2</v>
      </c>
      <c r="I54">
        <f t="shared" si="6"/>
        <v>1.7410000000000002E-2</v>
      </c>
      <c r="K54">
        <v>145860</v>
      </c>
      <c r="L54" s="1">
        <v>9.5528433333333326E-11</v>
      </c>
      <c r="M54" s="1">
        <v>9.5516633333333325E-11</v>
      </c>
      <c r="N54">
        <v>1.448E-2</v>
      </c>
      <c r="O54" s="1">
        <f t="shared" ref="O54" si="199">(L54*J$9)/(J$12*J$5)</f>
        <v>0.44037945876340145</v>
      </c>
      <c r="P54" s="1">
        <f t="shared" si="7"/>
        <v>0.45037945876340146</v>
      </c>
      <c r="Q54">
        <f t="shared" ref="Q54" si="200">N54</f>
        <v>1.448E-2</v>
      </c>
      <c r="R54">
        <f t="shared" si="8"/>
        <v>1.4630000000000001E-2</v>
      </c>
      <c r="T54">
        <v>145860</v>
      </c>
      <c r="U54" s="1">
        <v>9.4041433333333326E-11</v>
      </c>
      <c r="V54" s="1">
        <v>9.4029700000000005E-11</v>
      </c>
      <c r="W54">
        <v>1.4019999999999999E-2</v>
      </c>
      <c r="X54" s="1">
        <f t="shared" ref="X54" si="201">(U54*S$9)/(S$12*S$5)</f>
        <v>0.43352449179355501</v>
      </c>
      <c r="Y54">
        <f t="shared" ref="Y54" si="202">W54</f>
        <v>1.4019999999999999E-2</v>
      </c>
      <c r="AB54">
        <v>145860</v>
      </c>
      <c r="AC54" s="1">
        <v>1.4605499999999999E-10</v>
      </c>
      <c r="AD54" s="1">
        <v>1.4602466666666665E-10</v>
      </c>
      <c r="AE54">
        <v>1.6080000000000001E-2</v>
      </c>
      <c r="AF54" s="1">
        <f t="shared" ref="AF54" si="203">(AC54*AA$9)/(AA$12*AA$5)</f>
        <v>0.67330343024944339</v>
      </c>
      <c r="AG54">
        <f t="shared" ref="AG54" si="204">AE54</f>
        <v>1.6080000000000001E-2</v>
      </c>
      <c r="AJ54">
        <v>145860</v>
      </c>
      <c r="AK54" s="1">
        <v>2.2813799999999998E-10</v>
      </c>
      <c r="AL54" s="1">
        <v>2.2736133333333333E-10</v>
      </c>
      <c r="AM54">
        <v>1.6709999999999999E-2</v>
      </c>
      <c r="AN54" s="1">
        <f t="shared" si="10"/>
        <v>1.0517003729433947</v>
      </c>
      <c r="AO54">
        <f t="shared" si="15"/>
        <v>1.6709999999999999E-2</v>
      </c>
      <c r="AS54" s="1"/>
      <c r="AT54" s="1"/>
      <c r="AV54" s="1"/>
      <c r="BA54" s="1"/>
      <c r="BB54" s="1"/>
      <c r="BD54" s="1"/>
    </row>
    <row r="55" spans="2:56" x14ac:dyDescent="0.25">
      <c r="B55">
        <v>150850</v>
      </c>
      <c r="C55" s="1">
        <v>1.4819666666666667E-10</v>
      </c>
      <c r="D55" s="1">
        <v>1.4817166666666666E-10</v>
      </c>
      <c r="E55">
        <v>1.619E-2</v>
      </c>
      <c r="F55" s="1">
        <f t="shared" ref="F55" si="205">(C55*A$9)/(A$12*A$5)</f>
        <v>0.68317636519256464</v>
      </c>
      <c r="G55" s="1">
        <f t="shared" si="5"/>
        <v>0.69317636519256465</v>
      </c>
      <c r="H55">
        <f t="shared" si="1"/>
        <v>1.619E-2</v>
      </c>
      <c r="I55">
        <f t="shared" si="6"/>
        <v>1.7690000000000001E-2</v>
      </c>
      <c r="K55">
        <v>150850</v>
      </c>
      <c r="L55" s="1">
        <v>9.5511733333333353E-11</v>
      </c>
      <c r="M55" s="1">
        <v>9.5499566666666668E-11</v>
      </c>
      <c r="N55">
        <v>1.472E-2</v>
      </c>
      <c r="O55" s="1">
        <f t="shared" ref="O55" si="206">(L55*J$9)/(J$12*J$5)</f>
        <v>0.44030247292049879</v>
      </c>
      <c r="P55" s="1">
        <f t="shared" si="7"/>
        <v>0.4503024729204988</v>
      </c>
      <c r="Q55">
        <f t="shared" ref="Q55" si="207">N55</f>
        <v>1.472E-2</v>
      </c>
      <c r="R55">
        <f t="shared" si="8"/>
        <v>1.4870000000000001E-2</v>
      </c>
      <c r="T55">
        <v>150850</v>
      </c>
      <c r="U55" s="1">
        <v>9.402056666666666E-11</v>
      </c>
      <c r="V55" s="1">
        <v>9.4008499999999994E-11</v>
      </c>
      <c r="W55">
        <v>1.4239999999999999E-2</v>
      </c>
      <c r="X55" s="1">
        <f t="shared" ref="X55" si="208">(U55*S$9)/(S$12*S$5)</f>
        <v>0.43342829790601584</v>
      </c>
      <c r="Y55">
        <f t="shared" ref="Y55" si="209">W55</f>
        <v>1.4239999999999999E-2</v>
      </c>
      <c r="AB55">
        <v>150850</v>
      </c>
      <c r="AC55" s="1">
        <v>1.4601733333333335E-10</v>
      </c>
      <c r="AD55" s="1">
        <v>1.4598566666666668E-10</v>
      </c>
      <c r="AE55">
        <v>1.634E-2</v>
      </c>
      <c r="AF55" s="1">
        <f t="shared" ref="AF55" si="210">(AC55*AA$9)/(AA$12*AA$5)</f>
        <v>0.67312978952593017</v>
      </c>
      <c r="AG55">
        <f t="shared" ref="AG55" si="211">AE55</f>
        <v>1.634E-2</v>
      </c>
      <c r="AJ55">
        <v>150850</v>
      </c>
      <c r="AK55" s="1">
        <v>2.2786899999999998E-10</v>
      </c>
      <c r="AL55" s="1">
        <v>2.270876666666667E-10</v>
      </c>
      <c r="AM55">
        <v>1.6910000000000001E-2</v>
      </c>
      <c r="AN55" s="1">
        <f t="shared" si="10"/>
        <v>1.0504603015816671</v>
      </c>
      <c r="AO55">
        <f t="shared" si="15"/>
        <v>1.6910000000000001E-2</v>
      </c>
      <c r="AS55" s="1"/>
      <c r="AT55" s="1"/>
      <c r="AV55" s="1"/>
      <c r="BA55" s="1"/>
      <c r="BB55" s="1"/>
      <c r="BD55" s="1"/>
    </row>
    <row r="56" spans="2:56" x14ac:dyDescent="0.25">
      <c r="B56">
        <v>155850</v>
      </c>
      <c r="C56" s="1">
        <v>1.4816466666666665E-10</v>
      </c>
      <c r="D56" s="1">
        <v>1.4813933333333333E-10</v>
      </c>
      <c r="E56">
        <v>1.6459999999999999E-2</v>
      </c>
      <c r="F56" s="1">
        <f t="shared" ref="F56" si="212">(C56*A$9)/(A$12*A$5)</f>
        <v>0.68302884740975678</v>
      </c>
      <c r="G56" s="1">
        <f t="shared" si="5"/>
        <v>0.69302884740975679</v>
      </c>
      <c r="H56">
        <f t="shared" si="1"/>
        <v>1.6459999999999999E-2</v>
      </c>
      <c r="I56">
        <f t="shared" si="6"/>
        <v>1.796E-2</v>
      </c>
      <c r="K56">
        <v>155850</v>
      </c>
      <c r="L56" s="1">
        <v>9.5497266666666672E-11</v>
      </c>
      <c r="M56" s="1">
        <v>9.5484366666666657E-11</v>
      </c>
      <c r="N56">
        <v>1.4880000000000001E-2</v>
      </c>
      <c r="O56" s="1">
        <f t="shared" ref="O56" si="213">(L56*J$9)/(J$12*J$5)</f>
        <v>0.44023578258952106</v>
      </c>
      <c r="P56" s="1">
        <f t="shared" si="7"/>
        <v>0.45023578258952107</v>
      </c>
      <c r="Q56">
        <f t="shared" ref="Q56" si="214">N56</f>
        <v>1.4880000000000001E-2</v>
      </c>
      <c r="R56">
        <f t="shared" si="8"/>
        <v>1.5030000000000002E-2</v>
      </c>
      <c r="T56">
        <v>155850</v>
      </c>
      <c r="U56" s="1">
        <v>9.3999999999999999E-11</v>
      </c>
      <c r="V56" s="1">
        <v>9.3987566666666674E-11</v>
      </c>
      <c r="W56">
        <v>1.4420000000000001E-2</v>
      </c>
      <c r="X56" s="1">
        <f t="shared" ref="X56" si="215">(U56*S$9)/(S$12*S$5)</f>
        <v>0.43333348699769048</v>
      </c>
      <c r="Y56">
        <f t="shared" ref="Y56" si="216">W56</f>
        <v>1.4420000000000001E-2</v>
      </c>
      <c r="AB56">
        <v>155850</v>
      </c>
      <c r="AC56" s="1">
        <v>1.4597933333333333E-10</v>
      </c>
      <c r="AD56" s="1">
        <v>1.45947E-10</v>
      </c>
      <c r="AE56">
        <v>1.6570000000000001E-2</v>
      </c>
      <c r="AF56" s="1">
        <f t="shared" ref="AF56" si="217">(AC56*AA$9)/(AA$12*AA$5)</f>
        <v>0.672954612158846</v>
      </c>
      <c r="AG56">
        <f t="shared" ref="AG56" si="218">AE56</f>
        <v>1.6570000000000001E-2</v>
      </c>
      <c r="AJ56">
        <v>155850</v>
      </c>
      <c r="AK56" s="1">
        <v>2.2760566666666668E-10</v>
      </c>
      <c r="AL56" s="1">
        <v>2.2682166666666667E-10</v>
      </c>
      <c r="AM56">
        <v>1.7180000000000001E-2</v>
      </c>
      <c r="AN56" s="1">
        <f t="shared" si="10"/>
        <v>1.0492463531606455</v>
      </c>
      <c r="AO56">
        <f t="shared" si="15"/>
        <v>1.7180000000000001E-2</v>
      </c>
      <c r="AS56" s="1"/>
      <c r="AT56" s="1"/>
      <c r="AV56" s="1"/>
      <c r="BA56" s="1"/>
      <c r="BB56" s="1"/>
      <c r="BD56" s="1"/>
    </row>
    <row r="57" spans="2:56" x14ac:dyDescent="0.25">
      <c r="B57">
        <v>160840</v>
      </c>
      <c r="C57" s="1">
        <v>1.4813133333333334E-10</v>
      </c>
      <c r="D57" s="1">
        <v>1.4810466666666666E-10</v>
      </c>
      <c r="E57">
        <v>1.6670000000000001E-2</v>
      </c>
      <c r="F57" s="1">
        <f t="shared" ref="F57" si="219">(C57*A$9)/(A$12*A$5)</f>
        <v>0.68287518305266548</v>
      </c>
      <c r="G57" s="1">
        <f t="shared" si="5"/>
        <v>0.69287518305266549</v>
      </c>
      <c r="H57">
        <f t="shared" si="1"/>
        <v>1.6670000000000001E-2</v>
      </c>
      <c r="I57">
        <f t="shared" si="6"/>
        <v>1.8170000000000002E-2</v>
      </c>
      <c r="K57">
        <v>160840</v>
      </c>
      <c r="L57" s="1">
        <v>9.547986666666667E-11</v>
      </c>
      <c r="M57" s="1">
        <v>9.5467233333333333E-11</v>
      </c>
      <c r="N57">
        <v>1.508E-2</v>
      </c>
      <c r="O57" s="1">
        <f t="shared" ref="O57" si="220">(L57*J$9)/(J$12*J$5)</f>
        <v>0.44015556979511933</v>
      </c>
      <c r="P57" s="1">
        <f t="shared" si="7"/>
        <v>0.45015556979511934</v>
      </c>
      <c r="Q57">
        <f t="shared" ref="Q57" si="221">N57</f>
        <v>1.508E-2</v>
      </c>
      <c r="R57">
        <f t="shared" si="8"/>
        <v>1.523E-2</v>
      </c>
      <c r="T57">
        <v>160840</v>
      </c>
      <c r="U57" s="1">
        <v>9.398110000000001E-11</v>
      </c>
      <c r="V57" s="1">
        <v>9.3968333333333327E-11</v>
      </c>
      <c r="W57">
        <v>1.465E-2</v>
      </c>
      <c r="X57" s="1">
        <f t="shared" ref="X57" si="222">(U57*S$9)/(S$12*S$5)</f>
        <v>0.43324635930721972</v>
      </c>
      <c r="Y57">
        <f t="shared" ref="Y57" si="223">W57</f>
        <v>1.465E-2</v>
      </c>
      <c r="AB57">
        <v>160840</v>
      </c>
      <c r="AC57" s="1">
        <v>1.4593966666666664E-10</v>
      </c>
      <c r="AD57" s="1">
        <v>1.4590633333333333E-10</v>
      </c>
      <c r="AE57">
        <v>1.6760000000000001E-2</v>
      </c>
      <c r="AF57" s="1">
        <f t="shared" ref="AF57" si="224">(AC57*AA$9)/(AA$12*AA$5)</f>
        <v>0.67277175157390712</v>
      </c>
      <c r="AG57">
        <f t="shared" ref="AG57" si="225">AE57</f>
        <v>1.6760000000000001E-2</v>
      </c>
      <c r="AJ57">
        <v>160840</v>
      </c>
      <c r="AK57" s="1">
        <v>2.2735666666666663E-10</v>
      </c>
      <c r="AL57" s="1">
        <v>2.2656899999999999E-10</v>
      </c>
      <c r="AM57">
        <v>1.7420000000000001E-2</v>
      </c>
      <c r="AN57" s="1">
        <f t="shared" si="10"/>
        <v>1.0480984804131726</v>
      </c>
      <c r="AO57">
        <f t="shared" si="15"/>
        <v>1.7420000000000001E-2</v>
      </c>
      <c r="AS57" s="1"/>
      <c r="AT57" s="1"/>
      <c r="AV57" s="1"/>
      <c r="BA57" s="1"/>
      <c r="BB57" s="1"/>
      <c r="BD57" s="1"/>
    </row>
    <row r="58" spans="2:56" x14ac:dyDescent="0.25">
      <c r="B58">
        <v>165840</v>
      </c>
      <c r="C58" s="1">
        <v>1.4809833333333334E-10</v>
      </c>
      <c r="D58" s="1">
        <v>1.4807033333333333E-10</v>
      </c>
      <c r="E58">
        <v>1.6969999999999999E-2</v>
      </c>
      <c r="F58" s="1">
        <f t="shared" ref="F58" si="226">(C58*A$9)/(A$12*A$5)</f>
        <v>0.68272305533914501</v>
      </c>
      <c r="G58" s="1">
        <f t="shared" si="5"/>
        <v>0.69272305533914502</v>
      </c>
      <c r="H58">
        <f t="shared" si="1"/>
        <v>1.6969999999999999E-2</v>
      </c>
      <c r="I58">
        <f t="shared" si="6"/>
        <v>1.847E-2</v>
      </c>
      <c r="K58">
        <v>165840</v>
      </c>
      <c r="L58" s="1">
        <v>9.5463766666666656E-11</v>
      </c>
      <c r="M58" s="1">
        <v>9.5450433333333329E-11</v>
      </c>
      <c r="N58">
        <v>1.5270000000000001E-2</v>
      </c>
      <c r="O58" s="1">
        <f t="shared" ref="O58" si="227">(L58*J$9)/(J$12*J$5)</f>
        <v>0.44008134991064418</v>
      </c>
      <c r="P58" s="1">
        <f t="shared" si="7"/>
        <v>0.45008134991064419</v>
      </c>
      <c r="Q58">
        <f t="shared" ref="Q58" si="228">N58</f>
        <v>1.5270000000000001E-2</v>
      </c>
      <c r="R58">
        <f t="shared" si="8"/>
        <v>1.5420000000000001E-2</v>
      </c>
      <c r="T58">
        <v>165840</v>
      </c>
      <c r="U58" s="1">
        <v>9.3960966666666673E-11</v>
      </c>
      <c r="V58" s="1">
        <v>9.3947866666666659E-11</v>
      </c>
      <c r="W58">
        <v>1.482E-2</v>
      </c>
      <c r="X58" s="1">
        <f t="shared" ref="X58" si="229">(U58*S$9)/(S$12*S$5)</f>
        <v>0.43315354603553652</v>
      </c>
      <c r="Y58">
        <f t="shared" ref="Y58" si="230">W58</f>
        <v>1.482E-2</v>
      </c>
      <c r="AB58">
        <v>165840</v>
      </c>
      <c r="AC58" s="1">
        <v>1.4590600000000001E-10</v>
      </c>
      <c r="AD58" s="1">
        <v>1.4587199999999997E-10</v>
      </c>
      <c r="AE58">
        <v>1.7049999999999999E-2</v>
      </c>
      <c r="AF58" s="1">
        <f t="shared" ref="AF58" si="231">(AC58*AA$9)/(AA$12*AA$5)</f>
        <v>0.67261655057324499</v>
      </c>
      <c r="AG58">
        <f t="shared" ref="AG58" si="232">AE58</f>
        <v>1.7049999999999999E-2</v>
      </c>
      <c r="AJ58">
        <v>165840</v>
      </c>
      <c r="AK58" s="1">
        <v>2.2712433333333334E-10</v>
      </c>
      <c r="AL58" s="1">
        <v>2.2633333333333335E-10</v>
      </c>
      <c r="AM58">
        <v>1.7569999999999999E-2</v>
      </c>
      <c r="AN58" s="1">
        <f t="shared" si="10"/>
        <v>1.0470274398442458</v>
      </c>
      <c r="AO58">
        <f t="shared" si="15"/>
        <v>1.7569999999999999E-2</v>
      </c>
      <c r="AS58" s="1"/>
      <c r="AT58" s="1"/>
      <c r="AV58" s="1"/>
      <c r="BA58" s="1"/>
      <c r="BB58" s="1"/>
      <c r="BD58" s="1"/>
    </row>
    <row r="59" spans="2:56" x14ac:dyDescent="0.25">
      <c r="B59">
        <v>170830</v>
      </c>
      <c r="C59" s="1">
        <v>1.4806566666666666E-10</v>
      </c>
      <c r="D59" s="1">
        <v>1.4803733333333333E-10</v>
      </c>
      <c r="E59">
        <v>1.7219999999999999E-2</v>
      </c>
      <c r="F59" s="1">
        <f t="shared" ref="F59" si="233">(C59*A$9)/(A$12*A$5)</f>
        <v>0.68257246426919538</v>
      </c>
      <c r="G59" s="1">
        <f t="shared" si="5"/>
        <v>0.69257246426919539</v>
      </c>
      <c r="H59">
        <f t="shared" si="1"/>
        <v>1.7219999999999999E-2</v>
      </c>
      <c r="I59">
        <f t="shared" si="6"/>
        <v>1.8720000000000001E-2</v>
      </c>
      <c r="K59">
        <v>170830</v>
      </c>
      <c r="L59" s="1">
        <v>9.5443866666666671E-11</v>
      </c>
      <c r="M59" s="1">
        <v>9.5430466666666665E-11</v>
      </c>
      <c r="N59">
        <v>1.549E-2</v>
      </c>
      <c r="O59" s="1">
        <f t="shared" ref="O59" si="234">(L59*J$9)/(J$12*J$5)</f>
        <v>0.43998961228946071</v>
      </c>
      <c r="P59" s="1">
        <f t="shared" si="7"/>
        <v>0.44998961228946072</v>
      </c>
      <c r="Q59">
        <f t="shared" ref="Q59" si="235">N59</f>
        <v>1.549E-2</v>
      </c>
      <c r="R59">
        <f t="shared" si="8"/>
        <v>1.5640000000000001E-2</v>
      </c>
      <c r="T59">
        <v>170830</v>
      </c>
      <c r="U59" s="1">
        <v>9.3940900000000003E-11</v>
      </c>
      <c r="V59" s="1">
        <v>9.3927466666666657E-11</v>
      </c>
      <c r="W59">
        <v>1.4970000000000001E-2</v>
      </c>
      <c r="X59" s="1">
        <f t="shared" ref="X59" si="236">(U59*S$9)/(S$12*S$5)</f>
        <v>0.43306104009256741</v>
      </c>
      <c r="Y59">
        <f t="shared" ref="Y59" si="237">W59</f>
        <v>1.4970000000000001E-2</v>
      </c>
      <c r="AB59">
        <v>170830</v>
      </c>
      <c r="AC59" s="1">
        <v>1.45866E-10</v>
      </c>
      <c r="AD59" s="1">
        <v>1.4583133333333333E-10</v>
      </c>
      <c r="AE59">
        <v>1.7229999999999999E-2</v>
      </c>
      <c r="AF59" s="1">
        <f t="shared" ref="AF59" si="238">(AC59*AA$9)/(AA$12*AA$5)</f>
        <v>0.67243215334473527</v>
      </c>
      <c r="AG59">
        <f t="shared" ref="AG59" si="239">AE59</f>
        <v>1.7229999999999999E-2</v>
      </c>
      <c r="AJ59">
        <v>170830</v>
      </c>
      <c r="AK59" s="1">
        <v>2.2692033333333335E-10</v>
      </c>
      <c r="AL59" s="1">
        <v>2.2612633333333334E-10</v>
      </c>
      <c r="AM59">
        <v>1.7829999999999999E-2</v>
      </c>
      <c r="AN59" s="1">
        <f t="shared" si="10"/>
        <v>1.0460870139788467</v>
      </c>
      <c r="AO59">
        <f t="shared" si="15"/>
        <v>1.7829999999999999E-2</v>
      </c>
      <c r="AS59" s="1"/>
      <c r="AT59" s="1"/>
      <c r="AV59" s="1"/>
      <c r="BA59" s="1"/>
      <c r="BB59" s="1"/>
      <c r="BD59" s="1"/>
    </row>
    <row r="60" spans="2:56" x14ac:dyDescent="0.25">
      <c r="B60">
        <v>175830</v>
      </c>
      <c r="C60" s="1">
        <v>1.48038E-10</v>
      </c>
      <c r="D60" s="1">
        <v>1.4800933333333332E-10</v>
      </c>
      <c r="E60">
        <v>1.745E-2</v>
      </c>
      <c r="F60" s="1">
        <f t="shared" ref="F60" si="240">(C60*A$9)/(A$12*A$5)</f>
        <v>0.68244492285280955</v>
      </c>
      <c r="G60" s="1">
        <f t="shared" si="5"/>
        <v>0.69244492285280956</v>
      </c>
      <c r="H60">
        <f t="shared" si="1"/>
        <v>1.745E-2</v>
      </c>
      <c r="I60">
        <f t="shared" si="6"/>
        <v>1.8950000000000002E-2</v>
      </c>
      <c r="K60">
        <v>175830</v>
      </c>
      <c r="L60" s="1">
        <v>9.5426899999999994E-11</v>
      </c>
      <c r="M60" s="1">
        <v>9.5412799999999998E-11</v>
      </c>
      <c r="N60">
        <v>1.5630000000000002E-2</v>
      </c>
      <c r="O60" s="1">
        <f t="shared" ref="O60" si="241">(L60*J$9)/(J$12*J$5)</f>
        <v>0.43991139713170108</v>
      </c>
      <c r="P60" s="1">
        <f t="shared" si="7"/>
        <v>0.44991139713170109</v>
      </c>
      <c r="Q60">
        <f t="shared" ref="Q60" si="242">N60</f>
        <v>1.5630000000000002E-2</v>
      </c>
      <c r="R60">
        <f t="shared" si="8"/>
        <v>1.5780000000000002E-2</v>
      </c>
      <c r="T60">
        <v>175830</v>
      </c>
      <c r="U60" s="1">
        <v>9.3919900000000004E-11</v>
      </c>
      <c r="V60" s="1">
        <v>9.3906099999999999E-11</v>
      </c>
      <c r="W60">
        <v>1.521E-2</v>
      </c>
      <c r="X60" s="1">
        <f t="shared" ref="X60" si="243">(U60*S$9)/(S$12*S$5)</f>
        <v>0.43296423154759989</v>
      </c>
      <c r="Y60">
        <f t="shared" ref="Y60" si="244">W60</f>
        <v>1.521E-2</v>
      </c>
      <c r="AB60">
        <v>175830</v>
      </c>
      <c r="AC60" s="1">
        <v>1.4582899999999999E-10</v>
      </c>
      <c r="AD60" s="1">
        <v>1.4579366666666666E-10</v>
      </c>
      <c r="AE60">
        <v>1.745E-2</v>
      </c>
      <c r="AF60" s="1">
        <f t="shared" ref="AF60" si="245">(AC60*AA$9)/(AA$12*AA$5)</f>
        <v>0.67226158590836382</v>
      </c>
      <c r="AG60">
        <f t="shared" ref="AG60" si="246">AE60</f>
        <v>1.745E-2</v>
      </c>
      <c r="AJ60">
        <v>175830</v>
      </c>
      <c r="AK60" s="1">
        <v>2.2670400000000001E-10</v>
      </c>
      <c r="AL60" s="1">
        <v>2.2590566666666667E-10</v>
      </c>
      <c r="AM60">
        <v>1.8079999999999999E-2</v>
      </c>
      <c r="AN60" s="1">
        <f t="shared" si="10"/>
        <v>1.0450897323013237</v>
      </c>
      <c r="AO60">
        <f t="shared" si="15"/>
        <v>1.8079999999999999E-2</v>
      </c>
      <c r="AS60" s="1"/>
      <c r="AT60" s="1"/>
      <c r="AV60" s="1"/>
      <c r="BA60" s="1"/>
      <c r="BB60" s="1"/>
      <c r="BD60" s="1"/>
    </row>
    <row r="61" spans="2:56" x14ac:dyDescent="0.25">
      <c r="B61">
        <v>180820</v>
      </c>
      <c r="C61" s="1">
        <v>1.4800133333333336E-10</v>
      </c>
      <c r="D61" s="1">
        <v>1.47972E-10</v>
      </c>
      <c r="E61">
        <v>1.7680000000000001E-2</v>
      </c>
      <c r="F61" s="1">
        <f t="shared" ref="F61" si="247">(C61*A$9)/(A$12*A$5)</f>
        <v>0.68227589206000916</v>
      </c>
      <c r="G61" s="1">
        <f t="shared" si="5"/>
        <v>0.69227589206000917</v>
      </c>
      <c r="H61">
        <f t="shared" si="1"/>
        <v>1.7680000000000001E-2</v>
      </c>
      <c r="I61">
        <f t="shared" si="6"/>
        <v>1.9180000000000003E-2</v>
      </c>
      <c r="K61">
        <v>180820</v>
      </c>
      <c r="L61" s="1">
        <v>9.5414666666666656E-11</v>
      </c>
      <c r="M61" s="1">
        <v>9.5400166666666674E-11</v>
      </c>
      <c r="N61">
        <v>1.583E-2</v>
      </c>
      <c r="O61" s="1">
        <f t="shared" ref="O61" si="248">(L61*J$9)/(J$12*J$5)</f>
        <v>0.43985500231264851</v>
      </c>
      <c r="P61" s="1">
        <f t="shared" si="7"/>
        <v>0.44985500231264852</v>
      </c>
      <c r="Q61">
        <f t="shared" ref="Q61" si="249">N61</f>
        <v>1.583E-2</v>
      </c>
      <c r="R61">
        <f t="shared" si="8"/>
        <v>1.5980000000000001E-2</v>
      </c>
      <c r="T61">
        <v>180820</v>
      </c>
      <c r="U61" s="1">
        <v>9.389843333333334E-11</v>
      </c>
      <c r="V61" s="1">
        <v>9.388436666666667E-11</v>
      </c>
      <c r="W61">
        <v>1.538E-2</v>
      </c>
      <c r="X61" s="1">
        <f t="shared" ref="X61" si="250">(U61*S$9)/(S$12*S$5)</f>
        <v>0.43286527170163303</v>
      </c>
      <c r="Y61">
        <f t="shared" ref="Y61" si="251">W61</f>
        <v>1.538E-2</v>
      </c>
      <c r="AB61">
        <v>180820</v>
      </c>
      <c r="AC61" s="1">
        <v>1.4579433333333335E-10</v>
      </c>
      <c r="AD61" s="1">
        <v>1.4575833333333335E-10</v>
      </c>
      <c r="AE61">
        <v>1.7639999999999999E-2</v>
      </c>
      <c r="AF61" s="1">
        <f t="shared" ref="AF61" si="252">(AC61*AA$9)/(AA$12*AA$5)</f>
        <v>0.67210177497698886</v>
      </c>
      <c r="AG61">
        <f t="shared" ref="AG61" si="253">AE61</f>
        <v>1.7639999999999999E-2</v>
      </c>
      <c r="AJ61">
        <v>180820</v>
      </c>
      <c r="AK61" s="1">
        <v>2.2650566666666667E-10</v>
      </c>
      <c r="AL61" s="1">
        <v>2.2570399999999999E-10</v>
      </c>
      <c r="AM61">
        <v>1.8270000000000002E-2</v>
      </c>
      <c r="AN61" s="1">
        <f t="shared" si="10"/>
        <v>1.0441754293766299</v>
      </c>
      <c r="AO61">
        <f t="shared" si="15"/>
        <v>1.8270000000000002E-2</v>
      </c>
      <c r="AS61" s="1"/>
      <c r="AT61" s="1"/>
      <c r="AV61" s="1"/>
      <c r="BA61" s="1"/>
      <c r="BB61" s="1"/>
      <c r="BD61" s="1"/>
    </row>
    <row r="62" spans="2:56" x14ac:dyDescent="0.25">
      <c r="B62">
        <v>185820</v>
      </c>
      <c r="C62" s="1">
        <v>1.4796866666666665E-10</v>
      </c>
      <c r="D62" s="1">
        <v>1.4793833333333334E-10</v>
      </c>
      <c r="E62">
        <v>1.7909999999999999E-2</v>
      </c>
      <c r="F62" s="1">
        <f t="shared" ref="F62" si="254">(C62*A$9)/(A$12*A$5)</f>
        <v>0.68212530099005941</v>
      </c>
      <c r="G62" s="1">
        <f t="shared" si="5"/>
        <v>0.69212530099005942</v>
      </c>
      <c r="H62">
        <f t="shared" si="1"/>
        <v>1.7909999999999999E-2</v>
      </c>
      <c r="I62">
        <f t="shared" si="6"/>
        <v>1.941E-2</v>
      </c>
      <c r="K62">
        <v>185820</v>
      </c>
      <c r="L62" s="1">
        <v>9.5395666666666661E-11</v>
      </c>
      <c r="M62" s="1">
        <v>9.5381133333333339E-11</v>
      </c>
      <c r="N62">
        <v>1.6039999999999999E-2</v>
      </c>
      <c r="O62" s="1">
        <f t="shared" ref="O62" si="255">(L62*J$9)/(J$12*J$5)</f>
        <v>0.43976741362910649</v>
      </c>
      <c r="P62" s="1">
        <f t="shared" si="7"/>
        <v>0.44976741362910649</v>
      </c>
      <c r="Q62">
        <f t="shared" ref="Q62" si="256">N62</f>
        <v>1.6039999999999999E-2</v>
      </c>
      <c r="R62">
        <f t="shared" si="8"/>
        <v>1.619E-2</v>
      </c>
      <c r="T62">
        <v>185820</v>
      </c>
      <c r="U62" s="1">
        <v>9.3882833333333331E-11</v>
      </c>
      <c r="V62" s="1">
        <v>9.3868333333333322E-11</v>
      </c>
      <c r="W62">
        <v>1.555E-2</v>
      </c>
      <c r="X62" s="1">
        <f t="shared" ref="X62" si="257">(U62*S$9)/(S$12*S$5)</f>
        <v>0.43279335678251424</v>
      </c>
      <c r="Y62">
        <f t="shared" ref="Y62" si="258">W62</f>
        <v>1.555E-2</v>
      </c>
      <c r="AB62">
        <v>185820</v>
      </c>
      <c r="AC62" s="1">
        <v>1.4575833333333335E-10</v>
      </c>
      <c r="AD62" s="1">
        <v>1.4572166666666666E-10</v>
      </c>
      <c r="AE62">
        <v>1.7850000000000001E-2</v>
      </c>
      <c r="AF62" s="1">
        <f t="shared" ref="AF62" si="259">(AC62*AA$9)/(AA$12*AA$5)</f>
        <v>0.67193581747133024</v>
      </c>
      <c r="AG62">
        <f t="shared" ref="AG62" si="260">AE62</f>
        <v>1.7850000000000001E-2</v>
      </c>
      <c r="AJ62">
        <v>185820</v>
      </c>
      <c r="AK62" s="1">
        <v>2.2636566666666664E-10</v>
      </c>
      <c r="AL62" s="1">
        <v>2.2556033333333334E-10</v>
      </c>
      <c r="AM62">
        <v>1.8489999999999999E-2</v>
      </c>
      <c r="AN62" s="1">
        <f t="shared" si="10"/>
        <v>1.043530039076846</v>
      </c>
      <c r="AO62">
        <f t="shared" si="15"/>
        <v>1.8489999999999999E-2</v>
      </c>
      <c r="AS62" s="1"/>
      <c r="AT62" s="1"/>
      <c r="AV62" s="1"/>
      <c r="BA62" s="1"/>
      <c r="BB62" s="1"/>
      <c r="BD62" s="1"/>
    </row>
    <row r="63" spans="2:56" x14ac:dyDescent="0.25">
      <c r="B63">
        <v>190810</v>
      </c>
      <c r="C63" s="1">
        <v>1.4794266666666669E-10</v>
      </c>
      <c r="D63" s="1">
        <v>1.4791133333333334E-10</v>
      </c>
      <c r="E63">
        <v>1.8169999999999999E-2</v>
      </c>
      <c r="F63" s="1">
        <f t="shared" ref="F63" si="261">(C63*A$9)/(A$12*A$5)</f>
        <v>0.6820054427915283</v>
      </c>
      <c r="G63" s="1">
        <f t="shared" si="5"/>
        <v>0.69200544279152831</v>
      </c>
      <c r="H63">
        <f t="shared" si="1"/>
        <v>1.8169999999999999E-2</v>
      </c>
      <c r="I63">
        <f t="shared" si="6"/>
        <v>1.967E-2</v>
      </c>
      <c r="K63">
        <v>190810</v>
      </c>
      <c r="L63" s="1">
        <v>9.5372033333333346E-11</v>
      </c>
      <c r="M63" s="1">
        <v>9.5357433333333345E-11</v>
      </c>
      <c r="N63">
        <v>1.6219999999999998E-2</v>
      </c>
      <c r="O63" s="1">
        <f t="shared" ref="O63" si="262">(L63*J$9)/(J$12*J$5)</f>
        <v>0.43965846559992877</v>
      </c>
      <c r="P63" s="1">
        <f t="shared" si="7"/>
        <v>0.44965846559992878</v>
      </c>
      <c r="Q63">
        <f t="shared" ref="Q63" si="263">N63</f>
        <v>1.6219999999999998E-2</v>
      </c>
      <c r="R63">
        <f t="shared" si="8"/>
        <v>1.6369999999999999E-2</v>
      </c>
      <c r="T63">
        <v>190810</v>
      </c>
      <c r="U63" s="1">
        <v>9.3860266666666678E-11</v>
      </c>
      <c r="V63" s="1">
        <v>9.3845533333333331E-11</v>
      </c>
      <c r="W63">
        <v>1.5709999999999998E-2</v>
      </c>
      <c r="X63" s="1">
        <f t="shared" ref="X63" si="264">(U63*S$9)/(S$12*S$5)</f>
        <v>0.43268932601276344</v>
      </c>
      <c r="Y63">
        <f t="shared" ref="Y63" si="265">W63</f>
        <v>1.5709999999999998E-2</v>
      </c>
      <c r="AB63">
        <v>190810</v>
      </c>
      <c r="AC63" s="1">
        <v>1.4572166666666666E-10</v>
      </c>
      <c r="AD63" s="1">
        <v>1.4568366666666665E-10</v>
      </c>
      <c r="AE63">
        <v>1.8069999999999999E-2</v>
      </c>
      <c r="AF63" s="1">
        <f t="shared" ref="AF63" si="266">(AC63*AA$9)/(AA$12*AA$5)</f>
        <v>0.67176678667852963</v>
      </c>
      <c r="AG63">
        <f t="shared" ref="AG63" si="267">AE63</f>
        <v>1.8069999999999999E-2</v>
      </c>
      <c r="AJ63">
        <v>190810</v>
      </c>
      <c r="AK63" s="1">
        <v>2.2625033333333336E-10</v>
      </c>
      <c r="AL63" s="1">
        <v>2.2544099999999998E-10</v>
      </c>
      <c r="AM63">
        <v>1.8689999999999998E-2</v>
      </c>
      <c r="AN63" s="1">
        <f t="shared" si="10"/>
        <v>1.04299836040131</v>
      </c>
      <c r="AO63">
        <f t="shared" si="15"/>
        <v>1.8689999999999998E-2</v>
      </c>
      <c r="AS63" s="1"/>
      <c r="AT63" s="1"/>
      <c r="AV63" s="1"/>
      <c r="BA63" s="1"/>
      <c r="BB63" s="1"/>
      <c r="BD63" s="1"/>
    </row>
    <row r="64" spans="2:56" x14ac:dyDescent="0.25">
      <c r="B64">
        <v>195810</v>
      </c>
      <c r="C64" s="1">
        <v>1.4790766666666667E-10</v>
      </c>
      <c r="D64" s="1">
        <v>1.4787566666666666E-10</v>
      </c>
      <c r="E64">
        <v>1.8380000000000001E-2</v>
      </c>
      <c r="F64" s="1">
        <f t="shared" ref="F64" si="268">(C64*A$9)/(A$12*A$5)</f>
        <v>0.6818440952165824</v>
      </c>
      <c r="G64" s="1">
        <f t="shared" si="5"/>
        <v>0.69184409521658241</v>
      </c>
      <c r="H64">
        <f t="shared" si="1"/>
        <v>1.8380000000000001E-2</v>
      </c>
      <c r="I64">
        <f t="shared" si="6"/>
        <v>1.9880000000000002E-2</v>
      </c>
      <c r="K64">
        <v>195810</v>
      </c>
      <c r="L64" s="1">
        <v>9.5352833333333327E-11</v>
      </c>
      <c r="M64" s="1">
        <v>9.5337533333333348E-11</v>
      </c>
      <c r="N64">
        <v>1.6400000000000001E-2</v>
      </c>
      <c r="O64" s="1">
        <f t="shared" ref="O64" si="269">(L64*J$9)/(J$12*J$5)</f>
        <v>0.43956995493024409</v>
      </c>
      <c r="P64" s="1">
        <f t="shared" si="7"/>
        <v>0.4495699549302441</v>
      </c>
      <c r="Q64">
        <f t="shared" ref="Q64" si="270">N64</f>
        <v>1.6400000000000001E-2</v>
      </c>
      <c r="R64">
        <f t="shared" si="8"/>
        <v>1.6550000000000002E-2</v>
      </c>
      <c r="T64">
        <v>195810</v>
      </c>
      <c r="U64" s="1">
        <v>9.3842466666666652E-11</v>
      </c>
      <c r="V64" s="1">
        <v>9.3827400000000012E-11</v>
      </c>
      <c r="W64">
        <v>1.5890000000000001E-2</v>
      </c>
      <c r="X64" s="1">
        <f t="shared" ref="X64" si="271">(U64*S$9)/(S$12*S$5)</f>
        <v>0.43260726924607651</v>
      </c>
      <c r="Y64">
        <f t="shared" ref="Y64" si="272">W64</f>
        <v>1.5890000000000001E-2</v>
      </c>
      <c r="AB64">
        <v>195810</v>
      </c>
      <c r="AC64" s="1">
        <v>1.4568700000000002E-10</v>
      </c>
      <c r="AD64" s="1">
        <v>1.4564866666666666E-10</v>
      </c>
      <c r="AE64">
        <v>1.831E-2</v>
      </c>
      <c r="AF64" s="1">
        <f t="shared" ref="AF64" si="273">(AC64*AA$9)/(AA$12*AA$5)</f>
        <v>0.67160697574715467</v>
      </c>
      <c r="AG64">
        <f t="shared" ref="AG64" si="274">AE64</f>
        <v>1.831E-2</v>
      </c>
      <c r="AJ64">
        <v>195810</v>
      </c>
      <c r="AK64" s="1">
        <v>2.2614399999999996E-10</v>
      </c>
      <c r="AL64" s="1">
        <v>2.2533133333333329E-10</v>
      </c>
      <c r="AM64">
        <v>1.89E-2</v>
      </c>
      <c r="AN64" s="1">
        <f t="shared" si="10"/>
        <v>1.0425081711021882</v>
      </c>
      <c r="AO64">
        <f t="shared" si="15"/>
        <v>1.89E-2</v>
      </c>
      <c r="AS64" s="1"/>
      <c r="AT64" s="1"/>
      <c r="AV64" s="1"/>
      <c r="BA64" s="1"/>
      <c r="BB64" s="1"/>
      <c r="BD64" s="1"/>
    </row>
    <row r="65" spans="2:56" x14ac:dyDescent="0.25">
      <c r="B65">
        <v>200800</v>
      </c>
      <c r="C65" s="1">
        <v>1.4789366666666668E-10</v>
      </c>
      <c r="D65" s="1">
        <v>1.4786033333333334E-10</v>
      </c>
      <c r="E65">
        <v>1.864E-2</v>
      </c>
      <c r="F65" s="1">
        <f t="shared" ref="F65" si="275">(C65*A$9)/(A$12*A$5)</f>
        <v>0.68177955618660391</v>
      </c>
      <c r="G65" s="1">
        <f t="shared" si="5"/>
        <v>0.69177955618660392</v>
      </c>
      <c r="H65">
        <f t="shared" si="1"/>
        <v>1.864E-2</v>
      </c>
      <c r="I65">
        <f t="shared" si="6"/>
        <v>2.0140000000000002E-2</v>
      </c>
      <c r="K65">
        <v>200800</v>
      </c>
      <c r="L65" s="1">
        <v>9.5351433333333333E-11</v>
      </c>
      <c r="M65" s="1">
        <v>9.5335333333333331E-11</v>
      </c>
      <c r="N65">
        <v>1.66E-2</v>
      </c>
      <c r="O65" s="1">
        <f t="shared" ref="O65" si="276">(L65*J$9)/(J$12*J$5)</f>
        <v>0.43956350102724623</v>
      </c>
      <c r="P65" s="1">
        <f t="shared" si="7"/>
        <v>0.44956350102724624</v>
      </c>
      <c r="Q65">
        <f t="shared" ref="Q65" si="277">N65</f>
        <v>1.66E-2</v>
      </c>
      <c r="R65">
        <f t="shared" si="8"/>
        <v>1.6750000000000001E-2</v>
      </c>
      <c r="T65">
        <v>200800</v>
      </c>
      <c r="U65" s="1">
        <v>9.3838100000000011E-11</v>
      </c>
      <c r="V65" s="1">
        <v>9.3822533333333341E-11</v>
      </c>
      <c r="W65">
        <v>1.6140000000000002E-2</v>
      </c>
      <c r="X65" s="1">
        <f t="shared" ref="X65" si="278">(U65*S$9)/(S$12*S$5)</f>
        <v>0.43258713921529768</v>
      </c>
      <c r="Y65">
        <f t="shared" ref="Y65" si="279">W65</f>
        <v>1.6140000000000002E-2</v>
      </c>
      <c r="AB65">
        <v>200800</v>
      </c>
      <c r="AC65" s="1">
        <v>1.4567133333333333E-10</v>
      </c>
      <c r="AD65" s="1">
        <v>1.4563199999999998E-10</v>
      </c>
      <c r="AE65">
        <v>1.8540000000000001E-2</v>
      </c>
      <c r="AF65" s="1">
        <f t="shared" ref="AF65" si="280">(AC65*AA$9)/(AA$12*AA$5)</f>
        <v>0.67153475349932157</v>
      </c>
      <c r="AG65">
        <f t="shared" ref="AG65" si="281">AE65</f>
        <v>1.8540000000000001E-2</v>
      </c>
      <c r="AJ65">
        <v>200800</v>
      </c>
      <c r="AK65" s="1">
        <v>2.2617633333333335E-10</v>
      </c>
      <c r="AL65" s="1">
        <v>2.25356E-10</v>
      </c>
      <c r="AM65">
        <v>1.9140000000000001E-2</v>
      </c>
      <c r="AN65" s="1">
        <f t="shared" si="10"/>
        <v>1.0426572255285671</v>
      </c>
      <c r="AO65">
        <f t="shared" si="15"/>
        <v>1.9140000000000001E-2</v>
      </c>
      <c r="AS65" s="1"/>
      <c r="AT65" s="1"/>
      <c r="AV65" s="1"/>
      <c r="BA65" s="1"/>
      <c r="BB65" s="1"/>
      <c r="BD65" s="1"/>
    </row>
    <row r="66" spans="2:56" x14ac:dyDescent="0.25">
      <c r="B66">
        <v>205800</v>
      </c>
      <c r="C66" s="1">
        <v>1.4786666666666666E-10</v>
      </c>
      <c r="D66" s="1">
        <v>1.4783266666666668E-10</v>
      </c>
      <c r="E66">
        <v>1.891E-2</v>
      </c>
      <c r="F66" s="1">
        <f t="shared" ref="F66" si="282">(C66*A$9)/(A$12*A$5)</f>
        <v>0.68165508805735975</v>
      </c>
      <c r="G66" s="1">
        <f t="shared" si="5"/>
        <v>0.69165508805735976</v>
      </c>
      <c r="H66">
        <f t="shared" si="1"/>
        <v>1.891E-2</v>
      </c>
      <c r="I66">
        <f t="shared" si="6"/>
        <v>2.0410000000000001E-2</v>
      </c>
      <c r="K66">
        <v>205800</v>
      </c>
      <c r="L66" s="1">
        <v>9.5335933333333329E-11</v>
      </c>
      <c r="M66" s="1">
        <v>9.5319466666666669E-11</v>
      </c>
      <c r="N66">
        <v>1.6760000000000001E-2</v>
      </c>
      <c r="O66" s="1">
        <f t="shared" ref="O66" si="283">(L66*J$9)/(J$12*J$5)</f>
        <v>0.43949204710119871</v>
      </c>
      <c r="P66" s="1">
        <f t="shared" si="7"/>
        <v>0.44949204710119872</v>
      </c>
      <c r="Q66">
        <f t="shared" ref="Q66" si="284">N66</f>
        <v>1.6760000000000001E-2</v>
      </c>
      <c r="R66">
        <f t="shared" si="8"/>
        <v>1.6910000000000001E-2</v>
      </c>
      <c r="T66">
        <v>205800</v>
      </c>
      <c r="U66" s="1">
        <v>9.3820200000000004E-11</v>
      </c>
      <c r="V66" s="1">
        <v>9.3804300000000002E-11</v>
      </c>
      <c r="W66">
        <v>1.6320000000000001E-2</v>
      </c>
      <c r="X66" s="1">
        <f t="shared" ref="X66" si="285">(U66*S$9)/(S$12*S$5)</f>
        <v>0.43250462145553958</v>
      </c>
      <c r="Y66">
        <f t="shared" ref="Y66" si="286">W66</f>
        <v>1.6320000000000001E-2</v>
      </c>
      <c r="AB66">
        <v>205800</v>
      </c>
      <c r="AC66" s="1">
        <v>1.4564300000000003E-10</v>
      </c>
      <c r="AD66" s="1">
        <v>1.4560200000000001E-10</v>
      </c>
      <c r="AE66">
        <v>1.8780000000000002E-2</v>
      </c>
      <c r="AF66" s="1">
        <f t="shared" ref="AF66" si="287">(AC66*AA$9)/(AA$12*AA$5)</f>
        <v>0.67140413879579408</v>
      </c>
      <c r="AG66">
        <f t="shared" ref="AG66" si="288">AE66</f>
        <v>1.8780000000000002E-2</v>
      </c>
      <c r="AJ66">
        <v>205800</v>
      </c>
      <c r="AK66" s="1">
        <v>2.2612966666666665E-10</v>
      </c>
      <c r="AL66" s="1">
        <v>2.2530533333333335E-10</v>
      </c>
      <c r="AM66">
        <v>1.9380000000000001E-2</v>
      </c>
      <c r="AN66" s="1">
        <f t="shared" si="10"/>
        <v>1.0424420954286391</v>
      </c>
      <c r="AO66">
        <f t="shared" si="15"/>
        <v>1.9380000000000001E-2</v>
      </c>
      <c r="AS66" s="1"/>
      <c r="AT66" s="1"/>
      <c r="AV66" s="1"/>
      <c r="BA66" s="1"/>
      <c r="BB66" s="1"/>
      <c r="BD66" s="1"/>
    </row>
    <row r="67" spans="2:56" x14ac:dyDescent="0.25">
      <c r="B67">
        <v>210790</v>
      </c>
      <c r="C67" s="1">
        <v>1.4784099999999999E-10</v>
      </c>
      <c r="D67" s="1">
        <v>1.47806E-10</v>
      </c>
      <c r="E67">
        <v>1.9089999999999999E-2</v>
      </c>
      <c r="F67" s="1">
        <f t="shared" ref="F67" si="289">(C67*A$9)/(A$12*A$5)</f>
        <v>0.68153676650239947</v>
      </c>
      <c r="G67" s="1">
        <f t="shared" si="5"/>
        <v>0.69153676650239948</v>
      </c>
      <c r="H67">
        <f t="shared" si="1"/>
        <v>1.9089999999999999E-2</v>
      </c>
      <c r="I67">
        <f t="shared" si="6"/>
        <v>2.0590000000000001E-2</v>
      </c>
      <c r="K67">
        <v>210790</v>
      </c>
      <c r="L67" s="1">
        <v>9.5321766666666666E-11</v>
      </c>
      <c r="M67" s="1">
        <v>9.530523333333334E-11</v>
      </c>
      <c r="N67">
        <v>1.695E-2</v>
      </c>
      <c r="O67" s="1">
        <f t="shared" ref="O67" si="290">(L67*J$9)/(J$12*J$5)</f>
        <v>0.43942673974943491</v>
      </c>
      <c r="P67" s="1">
        <f t="shared" si="7"/>
        <v>0.44942673974943492</v>
      </c>
      <c r="Q67">
        <f t="shared" ref="Q67" si="291">N67</f>
        <v>1.695E-2</v>
      </c>
      <c r="R67">
        <f t="shared" si="8"/>
        <v>1.7100000000000001E-2</v>
      </c>
      <c r="T67">
        <v>210790</v>
      </c>
      <c r="U67" s="1">
        <v>9.3797866666666665E-11</v>
      </c>
      <c r="V67" s="1">
        <v>9.3781699999999997E-11</v>
      </c>
      <c r="W67">
        <v>1.651E-2</v>
      </c>
      <c r="X67" s="1">
        <f t="shared" ref="X67" si="292">(U67*S$9)/(S$12*S$5)</f>
        <v>0.43240166633628835</v>
      </c>
      <c r="Y67">
        <f t="shared" ref="Y67" si="293">W67</f>
        <v>1.651E-2</v>
      </c>
      <c r="AB67">
        <v>210790</v>
      </c>
      <c r="AC67" s="1">
        <v>1.4560899999999999E-10</v>
      </c>
      <c r="AD67" s="1">
        <v>1.4556766666666666E-10</v>
      </c>
      <c r="AE67">
        <v>1.898E-2</v>
      </c>
      <c r="AF67" s="1">
        <f t="shared" ref="AF67" si="294">(AC67*AA$9)/(AA$12*AA$5)</f>
        <v>0.67124740115156079</v>
      </c>
      <c r="AG67">
        <f t="shared" ref="AG67" si="295">AE67</f>
        <v>1.898E-2</v>
      </c>
      <c r="AJ67">
        <v>210790</v>
      </c>
      <c r="AK67" s="1">
        <v>2.2605466666666663E-10</v>
      </c>
      <c r="AL67" s="1">
        <v>2.2522566666666665E-10</v>
      </c>
      <c r="AM67">
        <v>1.958E-2</v>
      </c>
      <c r="AN67" s="1">
        <f t="shared" si="10"/>
        <v>1.0420963506251832</v>
      </c>
      <c r="AO67">
        <f t="shared" si="15"/>
        <v>1.958E-2</v>
      </c>
      <c r="AS67" s="1"/>
      <c r="AT67" s="1"/>
      <c r="AV67" s="1"/>
      <c r="BA67" s="1"/>
      <c r="BB67" s="1"/>
      <c r="BD67" s="1"/>
    </row>
    <row r="68" spans="2:56" x14ac:dyDescent="0.25">
      <c r="B68">
        <v>215790</v>
      </c>
      <c r="C68" s="1">
        <v>1.4781233333333334E-10</v>
      </c>
      <c r="D68" s="1">
        <v>1.4777699999999998E-10</v>
      </c>
      <c r="E68">
        <v>1.932E-2</v>
      </c>
      <c r="F68" s="1">
        <f t="shared" ref="F68" si="296">(C68*A$9)/(A$12*A$5)</f>
        <v>0.68140461515530104</v>
      </c>
      <c r="G68" s="1">
        <f t="shared" si="5"/>
        <v>0.69140461515530105</v>
      </c>
      <c r="H68">
        <f t="shared" si="1"/>
        <v>1.932E-2</v>
      </c>
      <c r="I68">
        <f t="shared" si="6"/>
        <v>2.0820000000000002E-2</v>
      </c>
      <c r="K68">
        <v>215790</v>
      </c>
      <c r="L68" s="1">
        <v>9.5304366666666664E-11</v>
      </c>
      <c r="M68" s="1">
        <v>9.5287433333333326E-11</v>
      </c>
      <c r="N68">
        <v>1.7129999999999999E-2</v>
      </c>
      <c r="O68" s="1">
        <f t="shared" ref="O68" si="297">(L68*J$9)/(J$12*J$5)</f>
        <v>0.43934652695503318</v>
      </c>
      <c r="P68" s="1">
        <f t="shared" si="7"/>
        <v>0.44934652695503319</v>
      </c>
      <c r="Q68">
        <f t="shared" ref="Q68" si="298">N68</f>
        <v>1.7129999999999999E-2</v>
      </c>
      <c r="R68">
        <f t="shared" si="8"/>
        <v>1.728E-2</v>
      </c>
      <c r="T68">
        <v>215790</v>
      </c>
      <c r="U68" s="1">
        <v>9.3776566666666673E-11</v>
      </c>
      <c r="V68" s="1">
        <v>9.3760033333333334E-11</v>
      </c>
      <c r="W68">
        <v>1.6660000000000001E-2</v>
      </c>
      <c r="X68" s="1">
        <f t="shared" ref="X68" si="299">(U68*S$9)/(S$12*S$5)</f>
        <v>0.43230347481210696</v>
      </c>
      <c r="Y68">
        <f t="shared" ref="Y68" si="300">W68</f>
        <v>1.6660000000000001E-2</v>
      </c>
      <c r="AB68">
        <v>215790</v>
      </c>
      <c r="AC68" s="1">
        <v>1.4557933333333331E-10</v>
      </c>
      <c r="AD68" s="1">
        <v>1.45537E-10</v>
      </c>
      <c r="AE68">
        <v>1.917E-2</v>
      </c>
      <c r="AF68" s="1">
        <f t="shared" ref="AF68" si="301">(AC68*AA$9)/(AA$12*AA$5)</f>
        <v>0.6711106398737493</v>
      </c>
      <c r="AG68">
        <f t="shared" ref="AG68" si="302">AE68</f>
        <v>1.917E-2</v>
      </c>
      <c r="AJ68">
        <v>215790</v>
      </c>
      <c r="AK68" s="1">
        <v>2.2592066666666664E-10</v>
      </c>
      <c r="AL68" s="1">
        <v>2.2508833333333332E-10</v>
      </c>
      <c r="AM68">
        <v>1.9769999999999999E-2</v>
      </c>
      <c r="AN68" s="1">
        <f t="shared" si="10"/>
        <v>1.0414786199096762</v>
      </c>
      <c r="AO68">
        <f t="shared" si="15"/>
        <v>1.9769999999999999E-2</v>
      </c>
      <c r="AS68" s="1"/>
      <c r="AT68" s="1"/>
      <c r="AV68" s="1"/>
      <c r="BA68" s="1"/>
      <c r="BB68" s="1"/>
      <c r="BD68" s="1"/>
    </row>
    <row r="69" spans="2:56" x14ac:dyDescent="0.25">
      <c r="B69">
        <v>220780</v>
      </c>
      <c r="C69" s="1">
        <v>1.4778366666666667E-10</v>
      </c>
      <c r="D69" s="1">
        <v>1.4774733333333335E-10</v>
      </c>
      <c r="E69">
        <v>1.9539999999999998E-2</v>
      </c>
      <c r="F69" s="1">
        <f t="shared" ref="F69" si="303">(C69*A$9)/(A$12*A$5)</f>
        <v>0.68127246380820239</v>
      </c>
      <c r="G69" s="1">
        <f t="shared" si="5"/>
        <v>0.6912724638082024</v>
      </c>
      <c r="H69">
        <f t="shared" si="1"/>
        <v>1.9539999999999998E-2</v>
      </c>
      <c r="I69">
        <f t="shared" si="6"/>
        <v>2.104E-2</v>
      </c>
      <c r="K69">
        <v>220780</v>
      </c>
      <c r="L69" s="1">
        <v>9.5289600000000003E-11</v>
      </c>
      <c r="M69" s="1">
        <v>9.5272266666666667E-11</v>
      </c>
      <c r="N69">
        <v>1.728E-2</v>
      </c>
      <c r="O69" s="1">
        <f t="shared" ref="O69" si="304">(L69*J$9)/(J$12*J$5)</f>
        <v>0.43927845364484175</v>
      </c>
      <c r="P69" s="1">
        <f t="shared" si="7"/>
        <v>0.44927845364484176</v>
      </c>
      <c r="Q69">
        <f t="shared" ref="Q69" si="305">N69</f>
        <v>1.728E-2</v>
      </c>
      <c r="R69">
        <f t="shared" si="8"/>
        <v>1.7430000000000001E-2</v>
      </c>
      <c r="T69">
        <v>220780</v>
      </c>
      <c r="U69" s="1">
        <v>9.3760400000000006E-11</v>
      </c>
      <c r="V69" s="1">
        <v>9.3743600000000001E-11</v>
      </c>
      <c r="W69">
        <v>1.6809999999999999E-2</v>
      </c>
      <c r="X69" s="1">
        <f t="shared" ref="X69" si="306">(U69*S$9)/(S$12*S$5)</f>
        <v>0.43222894759891767</v>
      </c>
      <c r="Y69">
        <f t="shared" ref="Y69" si="307">W69</f>
        <v>1.6809999999999999E-2</v>
      </c>
      <c r="AB69">
        <v>220780</v>
      </c>
      <c r="AC69" s="1">
        <v>1.4554733333333335E-10</v>
      </c>
      <c r="AD69" s="1">
        <v>1.4550433333333334E-10</v>
      </c>
      <c r="AE69">
        <v>1.9359999999999999E-2</v>
      </c>
      <c r="AF69" s="1">
        <f t="shared" ref="AF69" si="308">(AC69*AA$9)/(AA$12*AA$5)</f>
        <v>0.67096312209094178</v>
      </c>
      <c r="AG69">
        <f t="shared" ref="AG69" si="309">AE69</f>
        <v>1.9359999999999999E-2</v>
      </c>
      <c r="AJ69">
        <v>220780</v>
      </c>
      <c r="AK69" s="1">
        <v>2.2575800000000004E-10</v>
      </c>
      <c r="AL69" s="1">
        <v>2.24922E-10</v>
      </c>
      <c r="AM69">
        <v>1.9980000000000001E-2</v>
      </c>
      <c r="AN69" s="1">
        <f t="shared" si="10"/>
        <v>1.0407287378470704</v>
      </c>
      <c r="AO69">
        <f t="shared" si="15"/>
        <v>1.9980000000000001E-2</v>
      </c>
      <c r="AS69" s="1"/>
      <c r="AT69" s="1"/>
      <c r="AV69" s="1"/>
      <c r="BA69" s="1"/>
      <c r="BB69" s="1"/>
      <c r="BD69" s="1"/>
    </row>
    <row r="70" spans="2:56" x14ac:dyDescent="0.25">
      <c r="B70">
        <v>225780</v>
      </c>
      <c r="C70" s="1">
        <v>1.4775399999999999E-10</v>
      </c>
      <c r="D70" s="1">
        <v>1.4771666666666666E-10</v>
      </c>
      <c r="E70">
        <v>1.976E-2</v>
      </c>
      <c r="F70" s="1">
        <f t="shared" ref="F70" si="310">(C70*A$9)/(A$12*A$5)</f>
        <v>0.68113570253039091</v>
      </c>
      <c r="G70" s="1">
        <f t="shared" si="5"/>
        <v>0.69113570253039092</v>
      </c>
      <c r="H70">
        <f t="shared" si="1"/>
        <v>1.976E-2</v>
      </c>
      <c r="I70">
        <f t="shared" si="6"/>
        <v>2.1260000000000001E-2</v>
      </c>
      <c r="K70">
        <v>225780</v>
      </c>
      <c r="L70" s="1">
        <v>9.5277833333333342E-11</v>
      </c>
      <c r="M70" s="1">
        <v>9.5260133333333335E-11</v>
      </c>
      <c r="N70">
        <v>1.7469999999999999E-2</v>
      </c>
      <c r="O70" s="1">
        <f t="shared" ref="O70" si="311">(L70*J$9)/(J$12*J$5)</f>
        <v>0.43922421012678853</v>
      </c>
      <c r="P70" s="1">
        <f t="shared" si="7"/>
        <v>0.44922421012678854</v>
      </c>
      <c r="Q70">
        <f t="shared" ref="Q70" si="312">N70</f>
        <v>1.7469999999999999E-2</v>
      </c>
      <c r="R70">
        <f t="shared" si="8"/>
        <v>1.762E-2</v>
      </c>
      <c r="T70">
        <v>225780</v>
      </c>
      <c r="U70" s="1">
        <v>9.3743966666666673E-11</v>
      </c>
      <c r="V70" s="1">
        <v>9.3726866666666663E-11</v>
      </c>
      <c r="W70">
        <v>1.702E-2</v>
      </c>
      <c r="X70" s="1">
        <f t="shared" ref="X70" si="313">(U70*S$9)/(S$12*S$5)</f>
        <v>0.43215319107087158</v>
      </c>
      <c r="Y70">
        <f t="shared" ref="Y70" si="314">W70</f>
        <v>1.702E-2</v>
      </c>
      <c r="AB70">
        <v>225780</v>
      </c>
      <c r="AC70" s="1">
        <v>1.4552000000000001E-10</v>
      </c>
      <c r="AD70" s="1">
        <v>1.4547599999999999E-10</v>
      </c>
      <c r="AE70">
        <v>1.9560000000000001E-2</v>
      </c>
      <c r="AF70" s="1">
        <f t="shared" ref="AF70" si="315">(AC70*AA$9)/(AA$12*AA$5)</f>
        <v>0.67083711731812679</v>
      </c>
      <c r="AG70">
        <f t="shared" ref="AG70" si="316">AE70</f>
        <v>1.9560000000000001E-2</v>
      </c>
      <c r="AJ70">
        <v>225780</v>
      </c>
      <c r="AK70" s="1">
        <v>2.2561733333333334E-10</v>
      </c>
      <c r="AL70" s="1">
        <v>2.2477766666666666E-10</v>
      </c>
      <c r="AM70">
        <v>2.0140000000000002E-2</v>
      </c>
      <c r="AN70" s="1">
        <f t="shared" si="10"/>
        <v>1.0400802742601447</v>
      </c>
      <c r="AO70">
        <f t="shared" si="15"/>
        <v>2.0140000000000002E-2</v>
      </c>
      <c r="AS70" s="1"/>
      <c r="AT70" s="1"/>
      <c r="AV70" s="1"/>
      <c r="BA70" s="1"/>
      <c r="BB70" s="1"/>
      <c r="BD70" s="1"/>
    </row>
    <row r="71" spans="2:56" x14ac:dyDescent="0.25">
      <c r="B71">
        <v>230770</v>
      </c>
      <c r="C71" s="1">
        <v>1.4774133333333333E-10</v>
      </c>
      <c r="D71" s="1">
        <v>1.4770300000000002E-10</v>
      </c>
      <c r="E71">
        <v>1.9949999999999999E-2</v>
      </c>
      <c r="F71" s="1">
        <f t="shared" ref="F71" si="317">(C71*A$9)/(A$12*A$5)</f>
        <v>0.68107731007469619</v>
      </c>
      <c r="G71" s="1">
        <f t="shared" si="5"/>
        <v>0.69107731007469619</v>
      </c>
      <c r="H71">
        <f t="shared" si="1"/>
        <v>1.9949999999999999E-2</v>
      </c>
      <c r="I71">
        <f t="shared" si="6"/>
        <v>2.145E-2</v>
      </c>
      <c r="K71">
        <v>230770</v>
      </c>
      <c r="L71" s="1">
        <v>9.5261599999999995E-11</v>
      </c>
      <c r="M71" s="1">
        <v>9.5243166666666671E-11</v>
      </c>
      <c r="N71">
        <v>1.7610000000000001E-2</v>
      </c>
      <c r="O71" s="1">
        <f t="shared" ref="O71" si="318">(L71*J$9)/(J$12*J$5)</f>
        <v>0.43914937558488498</v>
      </c>
      <c r="P71" s="1">
        <f t="shared" si="7"/>
        <v>0.44914937558488499</v>
      </c>
      <c r="Q71">
        <f t="shared" ref="Q71" si="319">N71</f>
        <v>1.7610000000000001E-2</v>
      </c>
      <c r="R71">
        <f t="shared" si="8"/>
        <v>1.7760000000000001E-2</v>
      </c>
      <c r="T71">
        <v>230770</v>
      </c>
      <c r="U71" s="1">
        <v>9.3727766666666653E-11</v>
      </c>
      <c r="V71" s="1">
        <v>9.371030000000001E-11</v>
      </c>
      <c r="W71">
        <v>1.7170000000000001E-2</v>
      </c>
      <c r="X71" s="1">
        <f t="shared" ref="X71" si="320">(U71*S$9)/(S$12*S$5)</f>
        <v>0.4320785101933251</v>
      </c>
      <c r="Y71">
        <f t="shared" ref="Y71" si="321">W71</f>
        <v>1.7170000000000001E-2</v>
      </c>
      <c r="AB71">
        <v>230770</v>
      </c>
      <c r="AC71" s="1">
        <v>1.4549100000000001E-10</v>
      </c>
      <c r="AD71" s="1">
        <v>1.4544666666666665E-10</v>
      </c>
      <c r="AE71">
        <v>1.975E-2</v>
      </c>
      <c r="AF71" s="1">
        <f t="shared" ref="AF71" si="322">(AC71*AA$9)/(AA$12*AA$5)</f>
        <v>0.6707034293274573</v>
      </c>
      <c r="AG71">
        <f t="shared" ref="AG71" si="323">AE71</f>
        <v>1.975E-2</v>
      </c>
      <c r="AJ71">
        <v>230770</v>
      </c>
      <c r="AK71" s="1">
        <v>2.2552366666666665E-10</v>
      </c>
      <c r="AL71" s="1">
        <v>2.2468033333333334E-10</v>
      </c>
      <c r="AM71">
        <v>2.035E-2</v>
      </c>
      <c r="AN71" s="1">
        <f t="shared" si="10"/>
        <v>1.0396484774167178</v>
      </c>
      <c r="AO71">
        <f t="shared" si="15"/>
        <v>2.035E-2</v>
      </c>
      <c r="AS71" s="1"/>
      <c r="AT71" s="1"/>
      <c r="AV71" s="1"/>
      <c r="BA71" s="1"/>
      <c r="BB71" s="1"/>
      <c r="BD71" s="1"/>
    </row>
    <row r="72" spans="2:56" x14ac:dyDescent="0.25">
      <c r="B72">
        <v>235770</v>
      </c>
      <c r="C72" s="1">
        <v>1.4771033333333334E-10</v>
      </c>
      <c r="D72" s="1">
        <v>1.4767166666666664E-10</v>
      </c>
      <c r="E72">
        <v>2.017E-2</v>
      </c>
      <c r="F72" s="1">
        <f t="shared" ref="F72" si="324">(C72*A$9)/(A$12*A$5)</f>
        <v>0.68093440222260138</v>
      </c>
      <c r="G72" s="1">
        <f t="shared" si="5"/>
        <v>0.69093440222260138</v>
      </c>
      <c r="H72">
        <f t="shared" si="1"/>
        <v>2.017E-2</v>
      </c>
      <c r="I72">
        <f t="shared" si="6"/>
        <v>2.1670000000000002E-2</v>
      </c>
      <c r="K72">
        <v>235770</v>
      </c>
      <c r="L72" s="1">
        <v>9.5245899999999993E-11</v>
      </c>
      <c r="M72" s="1">
        <v>9.5227733333333321E-11</v>
      </c>
      <c r="N72">
        <v>1.7749999999999998E-2</v>
      </c>
      <c r="O72" s="1">
        <f t="shared" ref="O72" si="325">(L72*J$9)/(J$12*J$5)</f>
        <v>0.43907699967269492</v>
      </c>
      <c r="P72" s="1">
        <f t="shared" si="7"/>
        <v>0.44907699967269493</v>
      </c>
      <c r="Q72">
        <f t="shared" ref="Q72" si="326">N72</f>
        <v>1.7749999999999998E-2</v>
      </c>
      <c r="R72">
        <f t="shared" si="8"/>
        <v>1.7899999999999999E-2</v>
      </c>
      <c r="T72">
        <v>235770</v>
      </c>
      <c r="U72" s="1">
        <v>9.3710733333333335E-11</v>
      </c>
      <c r="V72" s="1">
        <v>9.3692966666666662E-11</v>
      </c>
      <c r="W72">
        <v>1.736E-2</v>
      </c>
      <c r="X72" s="1">
        <f t="shared" ref="X72" si="327">(U72*S$9)/(S$12*S$5)</f>
        <v>0.4319999877068515</v>
      </c>
      <c r="Y72">
        <f t="shared" ref="Y72" si="328">W72</f>
        <v>1.736E-2</v>
      </c>
      <c r="AB72">
        <v>235770</v>
      </c>
      <c r="AC72" s="1">
        <v>1.4546033333333333E-10</v>
      </c>
      <c r="AD72" s="1">
        <v>1.4541499999999998E-10</v>
      </c>
      <c r="AE72">
        <v>1.9939999999999999E-2</v>
      </c>
      <c r="AF72" s="1">
        <f t="shared" ref="AF72" si="329">(AC72*AA$9)/(AA$12*AA$5)</f>
        <v>0.6705620581189331</v>
      </c>
      <c r="AG72">
        <f t="shared" ref="AG72" si="330">AE72</f>
        <v>1.9939999999999999E-2</v>
      </c>
      <c r="AJ72">
        <v>235770</v>
      </c>
      <c r="AK72" s="1">
        <v>2.2538533333333334E-10</v>
      </c>
      <c r="AL72" s="1">
        <v>2.2453833333333336E-10</v>
      </c>
      <c r="AM72">
        <v>2.0559999999999998E-2</v>
      </c>
      <c r="AN72" s="1">
        <f t="shared" si="10"/>
        <v>1.0390107703347886</v>
      </c>
      <c r="AO72">
        <f t="shared" si="15"/>
        <v>2.0559999999999998E-2</v>
      </c>
      <c r="AS72" s="1"/>
      <c r="AT72" s="1"/>
      <c r="AV72" s="1"/>
      <c r="BA72" s="1"/>
      <c r="BB72" s="1"/>
      <c r="BD72" s="1"/>
    </row>
    <row r="73" spans="2:56" x14ac:dyDescent="0.25">
      <c r="B73">
        <v>240760</v>
      </c>
      <c r="C73" s="1">
        <v>1.4768133333333335E-10</v>
      </c>
      <c r="D73" s="1">
        <v>1.4764166666666667E-10</v>
      </c>
      <c r="E73">
        <v>2.0379999999999999E-2</v>
      </c>
      <c r="F73" s="1">
        <f t="shared" ref="F73" si="331">(C73*A$9)/(A$12*A$5)</f>
        <v>0.68080071423193189</v>
      </c>
      <c r="G73" s="1">
        <f t="shared" si="5"/>
        <v>0.6908007142319319</v>
      </c>
      <c r="H73">
        <f t="shared" si="1"/>
        <v>2.0379999999999999E-2</v>
      </c>
      <c r="I73">
        <f t="shared" si="6"/>
        <v>2.188E-2</v>
      </c>
      <c r="K73">
        <v>240760</v>
      </c>
      <c r="L73" s="1">
        <v>9.5231066666666666E-11</v>
      </c>
      <c r="M73" s="1">
        <v>9.5212500000000009E-11</v>
      </c>
      <c r="N73">
        <v>1.7940000000000001E-2</v>
      </c>
      <c r="O73" s="1">
        <f t="shared" ref="O73" si="332">(L73*J$9)/(J$12*J$5)</f>
        <v>0.43900861903378929</v>
      </c>
      <c r="P73" s="1">
        <f t="shared" si="7"/>
        <v>0.4490086190337893</v>
      </c>
      <c r="Q73">
        <f t="shared" ref="Q73" si="333">N73</f>
        <v>1.7940000000000001E-2</v>
      </c>
      <c r="R73">
        <f t="shared" si="8"/>
        <v>1.8090000000000002E-2</v>
      </c>
      <c r="T73">
        <v>240760</v>
      </c>
      <c r="U73" s="1">
        <v>9.3692733333333336E-11</v>
      </c>
      <c r="V73" s="1">
        <v>9.3674699999999997E-11</v>
      </c>
      <c r="W73">
        <v>1.7479999999999999E-2</v>
      </c>
      <c r="X73" s="1">
        <f t="shared" ref="X73" si="334">(U73*S$9)/(S$12*S$5)</f>
        <v>0.43191700895402207</v>
      </c>
      <c r="Y73">
        <f t="shared" ref="Y73" si="335">W73</f>
        <v>1.7479999999999999E-2</v>
      </c>
      <c r="AB73">
        <v>240760</v>
      </c>
      <c r="AC73" s="1">
        <v>1.4543033333333333E-10</v>
      </c>
      <c r="AD73" s="1">
        <v>1.4538433333333335E-10</v>
      </c>
      <c r="AE73">
        <v>2.0109999999999999E-2</v>
      </c>
      <c r="AF73" s="1">
        <f t="shared" ref="AF73" si="336">(AC73*AA$9)/(AA$12*AA$5)</f>
        <v>0.6704237601975509</v>
      </c>
      <c r="AG73">
        <f t="shared" ref="AG73" si="337">AE73</f>
        <v>2.0109999999999999E-2</v>
      </c>
      <c r="AJ73">
        <v>240760</v>
      </c>
      <c r="AK73" s="1">
        <v>2.2537300000000002E-10</v>
      </c>
      <c r="AL73" s="1">
        <v>2.2452166666666669E-10</v>
      </c>
      <c r="AM73">
        <v>2.0719999999999999E-2</v>
      </c>
      <c r="AN73" s="1">
        <f t="shared" si="10"/>
        <v>1.0389539145226649</v>
      </c>
      <c r="AO73">
        <f t="shared" si="15"/>
        <v>2.0719999999999999E-2</v>
      </c>
      <c r="AS73" s="1"/>
      <c r="AT73" s="1"/>
      <c r="AV73" s="1"/>
      <c r="BA73" s="1"/>
      <c r="BB73" s="1"/>
      <c r="BD73" s="1"/>
    </row>
    <row r="74" spans="2:56" x14ac:dyDescent="0.25">
      <c r="B74">
        <v>245760</v>
      </c>
      <c r="C74" s="1">
        <v>1.4765499999999999E-10</v>
      </c>
      <c r="D74" s="1">
        <v>1.4761466666666667E-10</v>
      </c>
      <c r="E74">
        <v>2.0570000000000001E-2</v>
      </c>
      <c r="F74" s="1">
        <f t="shared" ref="F74" si="338">(C74*A$9)/(A$12*A$5)</f>
        <v>0.68067931938982962</v>
      </c>
      <c r="G74" s="1">
        <f t="shared" si="5"/>
        <v>0.69067931938982963</v>
      </c>
      <c r="H74">
        <f t="shared" si="1"/>
        <v>2.0570000000000001E-2</v>
      </c>
      <c r="I74">
        <f t="shared" si="6"/>
        <v>2.2070000000000003E-2</v>
      </c>
      <c r="K74">
        <v>245760</v>
      </c>
      <c r="L74" s="1">
        <v>9.5218200000000003E-11</v>
      </c>
      <c r="M74" s="1">
        <v>9.519893333333333E-11</v>
      </c>
      <c r="N74">
        <v>1.805E-2</v>
      </c>
      <c r="O74" s="1">
        <f t="shared" ref="O74" si="339">(L74*J$9)/(J$12*J$5)</f>
        <v>0.43894930459195203</v>
      </c>
      <c r="P74" s="1">
        <f t="shared" si="7"/>
        <v>0.44894930459195204</v>
      </c>
      <c r="Q74">
        <f t="shared" ref="Q74" si="340">N74</f>
        <v>1.805E-2</v>
      </c>
      <c r="R74">
        <f t="shared" si="8"/>
        <v>1.8200000000000001E-2</v>
      </c>
      <c r="T74">
        <v>245760</v>
      </c>
      <c r="U74" s="1">
        <v>9.3678066666666668E-11</v>
      </c>
      <c r="V74" s="1">
        <v>9.3659699999999985E-11</v>
      </c>
      <c r="W74">
        <v>1.762E-2</v>
      </c>
      <c r="X74" s="1">
        <f t="shared" ref="X74" si="341">(U74*S$9)/(S$12*S$5)</f>
        <v>0.43184939663690192</v>
      </c>
      <c r="Y74">
        <f t="shared" ref="Y74" si="342">W74</f>
        <v>1.762E-2</v>
      </c>
      <c r="AB74">
        <v>245760</v>
      </c>
      <c r="AC74" s="1">
        <v>1.4540333333333333E-10</v>
      </c>
      <c r="AD74" s="1">
        <v>1.4535633333333334E-10</v>
      </c>
      <c r="AE74">
        <v>2.0299999999999999E-2</v>
      </c>
      <c r="AF74" s="1">
        <f t="shared" ref="AF74" si="343">(AC74*AA$9)/(AA$12*AA$5)</f>
        <v>0.67029929206830685</v>
      </c>
      <c r="AG74">
        <f t="shared" ref="AG74" si="344">AE74</f>
        <v>2.0299999999999999E-2</v>
      </c>
      <c r="AJ74">
        <v>245760</v>
      </c>
      <c r="AK74" s="1">
        <v>2.2535433333333333E-10</v>
      </c>
      <c r="AL74" s="1">
        <v>2.2449866666666665E-10</v>
      </c>
      <c r="AM74">
        <v>2.0899999999999998E-2</v>
      </c>
      <c r="AN74" s="1">
        <f t="shared" si="10"/>
        <v>1.0388678624826935</v>
      </c>
      <c r="AO74">
        <f t="shared" si="15"/>
        <v>2.0899999999999998E-2</v>
      </c>
      <c r="AS74" s="1"/>
      <c r="AT74" s="1"/>
      <c r="AV74" s="1"/>
      <c r="BA74" s="1"/>
      <c r="BB74" s="1"/>
      <c r="BD74" s="1"/>
    </row>
    <row r="75" spans="2:56" x14ac:dyDescent="0.25">
      <c r="B75">
        <v>250750</v>
      </c>
      <c r="C75" s="1">
        <v>1.4762266666666668E-10</v>
      </c>
      <c r="D75" s="1">
        <v>1.4758166666666669E-10</v>
      </c>
      <c r="E75">
        <v>2.078E-2</v>
      </c>
      <c r="F75" s="1">
        <f t="shared" ref="F75" si="345">(C75*A$9)/(A$12*A$5)</f>
        <v>0.68053026496345104</v>
      </c>
      <c r="G75" s="1">
        <f t="shared" si="5"/>
        <v>0.69053026496345105</v>
      </c>
      <c r="H75">
        <f t="shared" si="1"/>
        <v>2.078E-2</v>
      </c>
      <c r="I75">
        <f t="shared" si="6"/>
        <v>2.2280000000000001E-2</v>
      </c>
      <c r="K75">
        <v>250750</v>
      </c>
      <c r="L75" s="1">
        <v>9.5203800000000014E-11</v>
      </c>
      <c r="M75" s="1">
        <v>9.5184133333333329E-11</v>
      </c>
      <c r="N75">
        <v>1.8239999999999999E-2</v>
      </c>
      <c r="O75" s="1">
        <f t="shared" ref="O75" si="346">(L75*J$9)/(J$12*J$5)</f>
        <v>0.43888292158968861</v>
      </c>
      <c r="P75" s="1">
        <f t="shared" si="7"/>
        <v>0.44888292158968862</v>
      </c>
      <c r="Q75">
        <f t="shared" ref="Q75" si="347">N75</f>
        <v>1.8239999999999999E-2</v>
      </c>
      <c r="R75">
        <f t="shared" si="8"/>
        <v>1.839E-2</v>
      </c>
      <c r="T75">
        <v>250750</v>
      </c>
      <c r="U75" s="1">
        <v>9.3660566666666673E-11</v>
      </c>
      <c r="V75" s="1">
        <v>9.3641833333333331E-11</v>
      </c>
      <c r="W75">
        <v>1.7770000000000001E-2</v>
      </c>
      <c r="X75" s="1">
        <f t="shared" ref="X75" si="348">(U75*S$9)/(S$12*S$5)</f>
        <v>0.43176872284942902</v>
      </c>
      <c r="Y75">
        <f t="shared" ref="Y75" si="349">W75</f>
        <v>1.7770000000000001E-2</v>
      </c>
      <c r="AB75">
        <v>250750</v>
      </c>
      <c r="AC75" s="1">
        <v>1.4537433333333334E-10</v>
      </c>
      <c r="AD75" s="1">
        <v>1.4532733333333332E-10</v>
      </c>
      <c r="AE75">
        <v>2.0480000000000002E-2</v>
      </c>
      <c r="AF75" s="1">
        <f t="shared" ref="AF75" si="350">(AC75*AA$9)/(AA$12*AA$5)</f>
        <v>0.67016560407763748</v>
      </c>
      <c r="AG75">
        <f t="shared" ref="AG75" si="351">AE75</f>
        <v>2.0480000000000002E-2</v>
      </c>
      <c r="AJ75">
        <v>250750</v>
      </c>
      <c r="AK75" s="1">
        <v>2.2532833333333331E-10</v>
      </c>
      <c r="AL75" s="1">
        <v>2.244683333333333E-10</v>
      </c>
      <c r="AM75">
        <v>2.1069999999999998E-2</v>
      </c>
      <c r="AN75" s="1">
        <f t="shared" si="10"/>
        <v>1.0387480042841624</v>
      </c>
      <c r="AO75">
        <f t="shared" si="15"/>
        <v>2.1069999999999998E-2</v>
      </c>
      <c r="AS75" s="1"/>
      <c r="AT75" s="1"/>
      <c r="AV75" s="1"/>
      <c r="BA75" s="1"/>
      <c r="BB75" s="1"/>
      <c r="BD75" s="1"/>
    </row>
    <row r="76" spans="2:56" x14ac:dyDescent="0.25">
      <c r="B76">
        <v>255750</v>
      </c>
      <c r="C76" s="1">
        <v>1.4759066666666667E-10</v>
      </c>
      <c r="D76" s="1">
        <v>1.4754866666666667E-10</v>
      </c>
      <c r="E76">
        <v>2.0979999999999999E-2</v>
      </c>
      <c r="F76" s="49">
        <f t="shared" ref="F76:F139" si="352">(C76*A$9)/(A$12*A$5)</f>
        <v>0.68038274718064329</v>
      </c>
      <c r="G76" s="1">
        <f t="shared" si="5"/>
        <v>0.6903827471806433</v>
      </c>
      <c r="H76">
        <f t="shared" si="1"/>
        <v>2.0979999999999999E-2</v>
      </c>
      <c r="I76">
        <f t="shared" si="6"/>
        <v>2.248E-2</v>
      </c>
      <c r="K76">
        <v>255750</v>
      </c>
      <c r="L76" s="1">
        <v>9.5187833333333346E-11</v>
      </c>
      <c r="M76" s="1">
        <v>9.5168133333333334E-11</v>
      </c>
      <c r="N76">
        <v>1.839E-2</v>
      </c>
      <c r="O76" s="1">
        <f t="shared" ref="O76:O139" si="353">(L76*J$9)/(J$12*J$5)</f>
        <v>0.43880931636264181</v>
      </c>
      <c r="P76" s="1">
        <f t="shared" si="7"/>
        <v>0.44880931636264182</v>
      </c>
      <c r="Q76">
        <f t="shared" ref="Q76:Q139" si="354">N76</f>
        <v>1.839E-2</v>
      </c>
      <c r="R76">
        <f t="shared" si="8"/>
        <v>1.8540000000000001E-2</v>
      </c>
      <c r="T76">
        <v>255750</v>
      </c>
      <c r="U76" s="1">
        <v>9.3643166666666672E-11</v>
      </c>
      <c r="V76" s="1">
        <v>9.3624133333333337E-11</v>
      </c>
      <c r="W76">
        <v>1.7940000000000001E-2</v>
      </c>
      <c r="X76" s="1">
        <f t="shared" ref="X76:X139" si="355">(U76*S$9)/(S$12*S$5)</f>
        <v>0.43168851005502729</v>
      </c>
      <c r="Y76">
        <f t="shared" ref="Y76:Y139" si="356">W76</f>
        <v>1.7940000000000001E-2</v>
      </c>
      <c r="AB76">
        <v>255750</v>
      </c>
      <c r="AC76" s="1">
        <v>1.4534566666666669E-10</v>
      </c>
      <c r="AD76" s="1">
        <v>1.4529700000000001E-10</v>
      </c>
      <c r="AE76">
        <v>2.068E-2</v>
      </c>
      <c r="AF76" s="49">
        <f t="shared" ref="AF76:AF139" si="357">(AC76*AA$9)/(AA$12*AA$5)</f>
        <v>0.67003345273053894</v>
      </c>
      <c r="AG76">
        <f t="shared" ref="AG76:AG139" si="358">AE76</f>
        <v>2.068E-2</v>
      </c>
      <c r="AJ76">
        <v>255750</v>
      </c>
      <c r="AK76" s="1">
        <v>2.2521133333333329E-10</v>
      </c>
      <c r="AL76" s="1">
        <v>2.2434800000000001E-10</v>
      </c>
      <c r="AM76">
        <v>2.1270000000000001E-2</v>
      </c>
      <c r="AN76" s="49">
        <f t="shared" si="10"/>
        <v>1.0382086423907715</v>
      </c>
      <c r="AO76">
        <f t="shared" si="15"/>
        <v>2.1270000000000001E-2</v>
      </c>
      <c r="AS76" s="1"/>
      <c r="AT76" s="1"/>
      <c r="AV76" s="49"/>
      <c r="BA76" s="1"/>
      <c r="BB76" s="1"/>
      <c r="BD76" s="49"/>
    </row>
    <row r="77" spans="2:56" x14ac:dyDescent="0.25">
      <c r="B77">
        <v>260740</v>
      </c>
      <c r="C77" s="1">
        <v>1.4757033333333333E-10</v>
      </c>
      <c r="D77" s="1">
        <v>1.4752733333333333E-10</v>
      </c>
      <c r="E77">
        <v>2.1160000000000002E-2</v>
      </c>
      <c r="F77" s="49">
        <f t="shared" si="352"/>
        <v>0.68028901192281754</v>
      </c>
      <c r="G77" s="1">
        <f t="shared" si="5"/>
        <v>0.69028901192281755</v>
      </c>
      <c r="H77">
        <f t="shared" si="1"/>
        <v>2.1160000000000002E-2</v>
      </c>
      <c r="I77">
        <f t="shared" si="6"/>
        <v>2.2660000000000003E-2</v>
      </c>
      <c r="K77">
        <v>260740</v>
      </c>
      <c r="L77" s="1">
        <v>9.5179099999999999E-11</v>
      </c>
      <c r="M77" s="1">
        <v>9.5159033333333342E-11</v>
      </c>
      <c r="N77">
        <v>1.8519999999999998E-2</v>
      </c>
      <c r="O77" s="1">
        <f t="shared" si="353"/>
        <v>0.43876905630108382</v>
      </c>
      <c r="P77" s="1">
        <f t="shared" si="7"/>
        <v>0.44876905630108382</v>
      </c>
      <c r="Q77">
        <f t="shared" si="354"/>
        <v>1.8519999999999998E-2</v>
      </c>
      <c r="R77">
        <f t="shared" si="8"/>
        <v>1.8669999999999999E-2</v>
      </c>
      <c r="T77">
        <v>260740</v>
      </c>
      <c r="U77" s="1">
        <v>9.3627800000000001E-11</v>
      </c>
      <c r="V77" s="1">
        <v>9.3608433333333334E-11</v>
      </c>
      <c r="W77">
        <v>1.8110000000000001E-2</v>
      </c>
      <c r="X77" s="1">
        <f t="shared" si="355"/>
        <v>0.43161767078640811</v>
      </c>
      <c r="Y77">
        <f t="shared" si="356"/>
        <v>1.8110000000000001E-2</v>
      </c>
      <c r="AB77">
        <v>260740</v>
      </c>
      <c r="AC77" s="1">
        <v>1.4531566666666667E-10</v>
      </c>
      <c r="AD77" s="1">
        <v>1.4526633333333332E-10</v>
      </c>
      <c r="AE77">
        <v>2.085E-2</v>
      </c>
      <c r="AF77" s="49">
        <f t="shared" si="357"/>
        <v>0.66989515480915651</v>
      </c>
      <c r="AG77">
        <f t="shared" si="358"/>
        <v>2.085E-2</v>
      </c>
      <c r="AJ77">
        <v>260740</v>
      </c>
      <c r="AK77" s="1">
        <v>2.2515866666666667E-10</v>
      </c>
      <c r="AL77" s="1">
        <v>2.2429133333333334E-10</v>
      </c>
      <c r="AM77">
        <v>2.1440000000000001E-2</v>
      </c>
      <c r="AN77" s="49">
        <f t="shared" si="10"/>
        <v>1.0379658527065672</v>
      </c>
      <c r="AO77">
        <f t="shared" si="15"/>
        <v>2.1440000000000001E-2</v>
      </c>
      <c r="AS77" s="1"/>
      <c r="AT77" s="1"/>
      <c r="AV77" s="49"/>
      <c r="BA77" s="1"/>
      <c r="BB77" s="1"/>
      <c r="BD77" s="49"/>
    </row>
    <row r="78" spans="2:56" x14ac:dyDescent="0.25">
      <c r="B78">
        <v>265740</v>
      </c>
      <c r="C78" s="1">
        <v>1.4754533333333332E-10</v>
      </c>
      <c r="D78" s="1">
        <v>1.4750233333333334E-10</v>
      </c>
      <c r="E78">
        <v>2.1340000000000001E-2</v>
      </c>
      <c r="F78" s="49">
        <f t="shared" si="352"/>
        <v>0.68017376365499893</v>
      </c>
      <c r="G78" s="1">
        <f t="shared" si="5"/>
        <v>0.69017376365499894</v>
      </c>
      <c r="H78">
        <f t="shared" si="1"/>
        <v>2.1340000000000001E-2</v>
      </c>
      <c r="I78">
        <f t="shared" si="6"/>
        <v>2.2840000000000003E-2</v>
      </c>
      <c r="K78">
        <v>265740</v>
      </c>
      <c r="L78" s="1">
        <v>9.517809999999999E-11</v>
      </c>
      <c r="M78" s="1">
        <v>9.5157966666666667E-11</v>
      </c>
      <c r="N78">
        <v>1.8679999999999999E-2</v>
      </c>
      <c r="O78" s="1">
        <f t="shared" si="353"/>
        <v>0.43876444637037104</v>
      </c>
      <c r="P78" s="1">
        <f t="shared" si="7"/>
        <v>0.44876444637037105</v>
      </c>
      <c r="Q78">
        <f t="shared" si="354"/>
        <v>1.8679999999999999E-2</v>
      </c>
      <c r="R78">
        <f t="shared" si="8"/>
        <v>1.883E-2</v>
      </c>
      <c r="T78">
        <v>265740</v>
      </c>
      <c r="U78" s="1">
        <v>9.3611533333333327E-11</v>
      </c>
      <c r="V78" s="1">
        <v>9.3591933333333335E-11</v>
      </c>
      <c r="W78">
        <v>1.822E-2</v>
      </c>
      <c r="X78" s="1">
        <f t="shared" si="355"/>
        <v>0.4315426825801475</v>
      </c>
      <c r="Y78">
        <f t="shared" si="356"/>
        <v>1.822E-2</v>
      </c>
      <c r="AB78">
        <v>265740</v>
      </c>
      <c r="AC78" s="1">
        <v>1.4528800000000001E-10</v>
      </c>
      <c r="AD78" s="1">
        <v>1.4523799999999999E-10</v>
      </c>
      <c r="AE78">
        <v>2.102E-2</v>
      </c>
      <c r="AF78" s="49">
        <f t="shared" si="357"/>
        <v>0.6697676133927708</v>
      </c>
      <c r="AG78">
        <f t="shared" si="358"/>
        <v>2.102E-2</v>
      </c>
      <c r="AJ78">
        <v>265740</v>
      </c>
      <c r="AK78" s="1">
        <v>2.2496166666666666E-10</v>
      </c>
      <c r="AL78" s="1">
        <v>2.2409099999999998E-10</v>
      </c>
      <c r="AM78">
        <v>2.1610000000000001E-2</v>
      </c>
      <c r="AN78" s="49">
        <f t="shared" si="10"/>
        <v>1.0370576963561571</v>
      </c>
      <c r="AO78">
        <f t="shared" si="15"/>
        <v>2.1610000000000001E-2</v>
      </c>
      <c r="AS78" s="1"/>
      <c r="AT78" s="1"/>
      <c r="AV78" s="49"/>
      <c r="BA78" s="1"/>
      <c r="BB78" s="1"/>
      <c r="BD78" s="49"/>
    </row>
    <row r="79" spans="2:56" x14ac:dyDescent="0.25">
      <c r="B79">
        <v>270730</v>
      </c>
      <c r="C79" s="1">
        <v>1.4752399999999998E-10</v>
      </c>
      <c r="D79" s="1">
        <v>1.4747966666666667E-10</v>
      </c>
      <c r="E79">
        <v>2.1530000000000001E-2</v>
      </c>
      <c r="F79" s="49">
        <f t="shared" si="352"/>
        <v>0.68007541846646047</v>
      </c>
      <c r="G79" s="1">
        <f t="shared" si="5"/>
        <v>0.69007541846646048</v>
      </c>
      <c r="H79">
        <f t="shared" si="1"/>
        <v>2.1530000000000001E-2</v>
      </c>
      <c r="I79">
        <f t="shared" si="6"/>
        <v>2.3030000000000002E-2</v>
      </c>
      <c r="K79">
        <v>270730</v>
      </c>
      <c r="L79" s="1">
        <v>9.5180033333333341E-11</v>
      </c>
      <c r="M79" s="1">
        <v>9.5159200000000001E-11</v>
      </c>
      <c r="N79">
        <v>1.883E-2</v>
      </c>
      <c r="O79" s="1">
        <f t="shared" si="353"/>
        <v>0.43877335890308244</v>
      </c>
      <c r="P79" s="1">
        <f t="shared" si="7"/>
        <v>0.44877335890308245</v>
      </c>
      <c r="Q79">
        <f t="shared" si="354"/>
        <v>1.883E-2</v>
      </c>
      <c r="R79">
        <f t="shared" si="8"/>
        <v>1.898E-2</v>
      </c>
      <c r="T79">
        <v>270730</v>
      </c>
      <c r="U79" s="1">
        <v>9.3596600000000007E-11</v>
      </c>
      <c r="V79" s="1">
        <v>9.3576699999999996E-11</v>
      </c>
      <c r="W79">
        <v>1.8370000000000001E-2</v>
      </c>
      <c r="X79" s="1">
        <f t="shared" si="355"/>
        <v>0.43147384094817065</v>
      </c>
      <c r="Y79">
        <f t="shared" si="356"/>
        <v>1.8370000000000001E-2</v>
      </c>
      <c r="AB79">
        <v>270730</v>
      </c>
      <c r="AC79" s="1">
        <v>1.4526199999999999E-10</v>
      </c>
      <c r="AD79" s="1">
        <v>1.4521166666666668E-10</v>
      </c>
      <c r="AE79">
        <v>2.1190000000000001E-2</v>
      </c>
      <c r="AF79" s="49">
        <f t="shared" si="357"/>
        <v>0.66964775519423947</v>
      </c>
      <c r="AG79">
        <f t="shared" si="358"/>
        <v>2.1190000000000001E-2</v>
      </c>
      <c r="AJ79">
        <v>270730</v>
      </c>
      <c r="AK79" s="1">
        <v>2.2472066666666666E-10</v>
      </c>
      <c r="AL79" s="1">
        <v>2.238476666666667E-10</v>
      </c>
      <c r="AM79">
        <v>2.1770000000000001E-2</v>
      </c>
      <c r="AN79" s="49">
        <f t="shared" si="10"/>
        <v>1.0359467030543865</v>
      </c>
      <c r="AO79">
        <f t="shared" si="15"/>
        <v>2.1770000000000001E-2</v>
      </c>
      <c r="AS79" s="1"/>
      <c r="AT79" s="1"/>
      <c r="AV79" s="49"/>
      <c r="BA79" s="1"/>
      <c r="BB79" s="1"/>
      <c r="BD79" s="49"/>
    </row>
    <row r="80" spans="2:56" x14ac:dyDescent="0.25">
      <c r="B80">
        <v>275730</v>
      </c>
      <c r="C80" s="1">
        <v>1.4749999999999998E-10</v>
      </c>
      <c r="D80" s="1">
        <v>1.4745533333333333E-10</v>
      </c>
      <c r="E80">
        <v>2.1739999999999999E-2</v>
      </c>
      <c r="F80" s="49">
        <f t="shared" si="352"/>
        <v>0.67996478012935468</v>
      </c>
      <c r="G80" s="1">
        <f t="shared" si="5"/>
        <v>0.68996478012935469</v>
      </c>
      <c r="H80">
        <f t="shared" si="1"/>
        <v>2.1739999999999999E-2</v>
      </c>
      <c r="I80">
        <f t="shared" si="6"/>
        <v>2.324E-2</v>
      </c>
      <c r="K80">
        <v>275730</v>
      </c>
      <c r="L80" s="1">
        <v>9.5176000000000006E-11</v>
      </c>
      <c r="M80" s="1">
        <v>9.5155166666666666E-11</v>
      </c>
      <c r="N80">
        <v>1.8970000000000001E-2</v>
      </c>
      <c r="O80" s="1">
        <f t="shared" si="353"/>
        <v>0.43875476551587439</v>
      </c>
      <c r="P80" s="1">
        <f t="shared" si="7"/>
        <v>0.4487547655158744</v>
      </c>
      <c r="Q80">
        <f t="shared" si="354"/>
        <v>1.8970000000000001E-2</v>
      </c>
      <c r="R80">
        <f t="shared" si="8"/>
        <v>1.9120000000000002E-2</v>
      </c>
      <c r="T80">
        <v>275730</v>
      </c>
      <c r="U80" s="1">
        <v>9.3582000000000006E-11</v>
      </c>
      <c r="V80" s="1">
        <v>9.3561766666666663E-11</v>
      </c>
      <c r="W80">
        <v>1.8519999999999998E-2</v>
      </c>
      <c r="X80" s="1">
        <f t="shared" si="355"/>
        <v>0.43140653595976458</v>
      </c>
      <c r="Y80">
        <f t="shared" si="356"/>
        <v>1.8519999999999998E-2</v>
      </c>
      <c r="AB80">
        <v>275730</v>
      </c>
      <c r="AC80" s="1">
        <v>1.4523400000000001E-10</v>
      </c>
      <c r="AD80" s="1">
        <v>1.4518266666666666E-10</v>
      </c>
      <c r="AE80">
        <v>2.1360000000000001E-2</v>
      </c>
      <c r="AF80" s="49">
        <f t="shared" si="357"/>
        <v>0.66951867713428281</v>
      </c>
      <c r="AG80">
        <f t="shared" si="358"/>
        <v>2.1360000000000001E-2</v>
      </c>
      <c r="AJ80">
        <v>275730</v>
      </c>
      <c r="AK80" s="1">
        <v>2.2451266666666666E-10</v>
      </c>
      <c r="AL80" s="1">
        <v>2.2363733333333331E-10</v>
      </c>
      <c r="AM80">
        <v>2.1930000000000002E-2</v>
      </c>
      <c r="AN80" s="49">
        <f t="shared" si="10"/>
        <v>1.0349878374661363</v>
      </c>
      <c r="AO80">
        <f t="shared" si="15"/>
        <v>2.1930000000000002E-2</v>
      </c>
      <c r="AS80" s="1"/>
      <c r="AT80" s="1"/>
      <c r="AV80" s="49"/>
      <c r="BA80" s="1"/>
      <c r="BB80" s="1"/>
      <c r="BD80" s="49"/>
    </row>
    <row r="81" spans="2:56" x14ac:dyDescent="0.25">
      <c r="B81">
        <v>280720</v>
      </c>
      <c r="C81" s="1">
        <v>1.4747433333333334E-10</v>
      </c>
      <c r="D81" s="1">
        <v>1.4742866666666667E-10</v>
      </c>
      <c r="E81">
        <v>2.1919999999999999E-2</v>
      </c>
      <c r="F81" s="49">
        <f t="shared" si="352"/>
        <v>0.6798464585743943</v>
      </c>
      <c r="G81" s="1">
        <f t="shared" si="5"/>
        <v>0.68984645857439431</v>
      </c>
      <c r="H81">
        <f t="shared" si="1"/>
        <v>2.1919999999999999E-2</v>
      </c>
      <c r="I81">
        <f t="shared" si="6"/>
        <v>2.342E-2</v>
      </c>
      <c r="K81">
        <v>280720</v>
      </c>
      <c r="L81" s="1">
        <v>9.5175366666666669E-11</v>
      </c>
      <c r="M81" s="1">
        <v>9.5153766666666672E-11</v>
      </c>
      <c r="N81">
        <v>1.9120000000000002E-2</v>
      </c>
      <c r="O81" s="1">
        <f t="shared" si="353"/>
        <v>0.43875184589308958</v>
      </c>
      <c r="P81" s="1">
        <f t="shared" si="7"/>
        <v>0.44875184589308958</v>
      </c>
      <c r="Q81">
        <f t="shared" si="354"/>
        <v>1.9120000000000002E-2</v>
      </c>
      <c r="R81">
        <f t="shared" si="8"/>
        <v>1.9270000000000002E-2</v>
      </c>
      <c r="T81">
        <v>280720</v>
      </c>
      <c r="U81" s="1">
        <v>9.3567166666666666E-11</v>
      </c>
      <c r="V81" s="1">
        <v>9.3546666666666658E-11</v>
      </c>
      <c r="W81">
        <v>1.864E-2</v>
      </c>
      <c r="X81" s="1">
        <f t="shared" si="355"/>
        <v>0.43133815532085884</v>
      </c>
      <c r="Y81">
        <f t="shared" si="356"/>
        <v>1.864E-2</v>
      </c>
      <c r="AB81">
        <v>280720</v>
      </c>
      <c r="AC81" s="1">
        <v>1.4520433333333335E-10</v>
      </c>
      <c r="AD81" s="1">
        <v>1.45152E-10</v>
      </c>
      <c r="AE81">
        <v>2.1530000000000001E-2</v>
      </c>
      <c r="AF81" s="49">
        <f t="shared" si="357"/>
        <v>0.66938191585647155</v>
      </c>
      <c r="AG81">
        <f t="shared" si="358"/>
        <v>2.1530000000000001E-2</v>
      </c>
      <c r="AJ81">
        <v>280720</v>
      </c>
      <c r="AK81" s="1">
        <v>2.2428266666666666E-10</v>
      </c>
      <c r="AL81" s="1">
        <v>2.2340500000000002E-10</v>
      </c>
      <c r="AM81">
        <v>2.2100000000000002E-2</v>
      </c>
      <c r="AN81" s="49">
        <f t="shared" si="10"/>
        <v>1.0339275534022057</v>
      </c>
      <c r="AO81">
        <f t="shared" si="15"/>
        <v>2.2100000000000002E-2</v>
      </c>
      <c r="AS81" s="1"/>
      <c r="AT81" s="1"/>
      <c r="AV81" s="49"/>
      <c r="BA81" s="1"/>
      <c r="BB81" s="1"/>
      <c r="BD81" s="49"/>
    </row>
    <row r="82" spans="2:56" x14ac:dyDescent="0.25">
      <c r="B82">
        <v>285720</v>
      </c>
      <c r="C82" s="1">
        <v>1.4744866666666666E-10</v>
      </c>
      <c r="D82" s="1">
        <v>1.4740200000000002E-10</v>
      </c>
      <c r="E82">
        <v>2.2069999999999999E-2</v>
      </c>
      <c r="F82" s="49">
        <f t="shared" si="352"/>
        <v>0.67972813701943402</v>
      </c>
      <c r="G82" s="1">
        <f t="shared" si="5"/>
        <v>0.68972813701943403</v>
      </c>
      <c r="H82">
        <f t="shared" si="1"/>
        <v>2.2069999999999999E-2</v>
      </c>
      <c r="I82">
        <f t="shared" si="6"/>
        <v>2.3570000000000001E-2</v>
      </c>
      <c r="K82">
        <v>285720</v>
      </c>
      <c r="L82" s="1">
        <v>9.5171099999999995E-11</v>
      </c>
      <c r="M82" s="1">
        <v>9.5149133333333326E-11</v>
      </c>
      <c r="N82">
        <v>1.925E-2</v>
      </c>
      <c r="O82" s="1">
        <f t="shared" si="353"/>
        <v>0.43873217685538185</v>
      </c>
      <c r="P82" s="1">
        <f t="shared" si="7"/>
        <v>0.44873217685538186</v>
      </c>
      <c r="Q82">
        <f t="shared" si="354"/>
        <v>1.925E-2</v>
      </c>
      <c r="R82">
        <f t="shared" si="8"/>
        <v>1.9400000000000001E-2</v>
      </c>
      <c r="T82">
        <v>285720</v>
      </c>
      <c r="U82" s="1">
        <v>9.3547566666666673E-11</v>
      </c>
      <c r="V82" s="1">
        <v>9.3526733333333334E-11</v>
      </c>
      <c r="W82">
        <v>1.8800000000000001E-2</v>
      </c>
      <c r="X82" s="1">
        <f t="shared" si="355"/>
        <v>0.43124780067888918</v>
      </c>
      <c r="Y82">
        <f t="shared" si="356"/>
        <v>1.8800000000000001E-2</v>
      </c>
      <c r="AB82">
        <v>285720</v>
      </c>
      <c r="AC82" s="1">
        <v>1.45179E-10</v>
      </c>
      <c r="AD82" s="1">
        <v>1.4512600000000001E-10</v>
      </c>
      <c r="AE82">
        <v>2.171E-2</v>
      </c>
      <c r="AF82" s="49">
        <f t="shared" si="357"/>
        <v>0.669265130945082</v>
      </c>
      <c r="AG82">
        <f t="shared" si="358"/>
        <v>2.171E-2</v>
      </c>
      <c r="AJ82">
        <v>285720</v>
      </c>
      <c r="AK82" s="1">
        <v>2.2409799999999999E-10</v>
      </c>
      <c r="AL82" s="1">
        <v>2.2321699999999998E-10</v>
      </c>
      <c r="AM82">
        <v>2.2249999999999999E-2</v>
      </c>
      <c r="AN82" s="49">
        <f t="shared" si="10"/>
        <v>1.0330762528639195</v>
      </c>
      <c r="AO82">
        <f t="shared" si="15"/>
        <v>2.2249999999999999E-2</v>
      </c>
      <c r="AS82" s="1"/>
      <c r="AT82" s="1"/>
      <c r="AV82" s="49"/>
      <c r="BA82" s="1"/>
      <c r="BB82" s="1"/>
      <c r="BD82" s="49"/>
    </row>
    <row r="83" spans="2:56" x14ac:dyDescent="0.25">
      <c r="B83">
        <v>290710</v>
      </c>
      <c r="C83" s="1">
        <v>1.4742466666666667E-10</v>
      </c>
      <c r="D83" s="1">
        <v>1.4737700000000001E-10</v>
      </c>
      <c r="E83">
        <v>2.2249999999999999E-2</v>
      </c>
      <c r="F83" s="49">
        <f t="shared" si="352"/>
        <v>0.67961749868232824</v>
      </c>
      <c r="G83" s="1">
        <f t="shared" si="5"/>
        <v>0.68961749868232824</v>
      </c>
      <c r="H83">
        <f t="shared" si="1"/>
        <v>2.2249999999999999E-2</v>
      </c>
      <c r="I83">
        <f t="shared" si="6"/>
        <v>2.375E-2</v>
      </c>
      <c r="K83">
        <v>290710</v>
      </c>
      <c r="L83" s="1">
        <v>9.5163733333333328E-11</v>
      </c>
      <c r="M83" s="1">
        <v>9.5141700000000006E-11</v>
      </c>
      <c r="N83">
        <v>1.9380000000000001E-2</v>
      </c>
      <c r="O83" s="1">
        <f t="shared" si="353"/>
        <v>0.43869821703246464</v>
      </c>
      <c r="P83" s="1">
        <f t="shared" si="7"/>
        <v>0.44869821703246465</v>
      </c>
      <c r="Q83">
        <f t="shared" si="354"/>
        <v>1.9380000000000001E-2</v>
      </c>
      <c r="R83">
        <f t="shared" si="8"/>
        <v>1.9530000000000002E-2</v>
      </c>
      <c r="T83">
        <v>290710</v>
      </c>
      <c r="U83" s="1">
        <v>9.3531666666666671E-11</v>
      </c>
      <c r="V83" s="1">
        <v>9.3510566666666666E-11</v>
      </c>
      <c r="W83">
        <v>1.8939999999999999E-2</v>
      </c>
      <c r="X83" s="1">
        <f t="shared" si="355"/>
        <v>0.43117450278055663</v>
      </c>
      <c r="Y83">
        <f t="shared" si="356"/>
        <v>1.8939999999999999E-2</v>
      </c>
      <c r="AB83">
        <v>290710</v>
      </c>
      <c r="AC83" s="1">
        <v>1.4515133333333334E-10</v>
      </c>
      <c r="AD83" s="1">
        <v>1.45098E-10</v>
      </c>
      <c r="AE83">
        <v>2.1860000000000001E-2</v>
      </c>
      <c r="AF83" s="49">
        <f t="shared" si="357"/>
        <v>0.66913758952869618</v>
      </c>
      <c r="AG83">
        <f t="shared" si="358"/>
        <v>2.1860000000000001E-2</v>
      </c>
      <c r="AJ83">
        <v>290710</v>
      </c>
      <c r="AK83" s="1">
        <v>2.23894E-10</v>
      </c>
      <c r="AL83" s="1">
        <v>2.2301100000000002E-10</v>
      </c>
      <c r="AM83">
        <v>2.2409999999999999E-2</v>
      </c>
      <c r="AN83" s="49">
        <f t="shared" si="10"/>
        <v>1.0321358269985204</v>
      </c>
      <c r="AO83">
        <f t="shared" si="15"/>
        <v>2.2409999999999999E-2</v>
      </c>
      <c r="AS83" s="1"/>
      <c r="AT83" s="1"/>
      <c r="AV83" s="49"/>
      <c r="BA83" s="1"/>
      <c r="BB83" s="1"/>
      <c r="BD83" s="49"/>
    </row>
    <row r="84" spans="2:56" x14ac:dyDescent="0.25">
      <c r="B84">
        <v>295710</v>
      </c>
      <c r="C84" s="1">
        <v>1.4739833333333336E-10</v>
      </c>
      <c r="D84" s="1">
        <v>1.47351E-10</v>
      </c>
      <c r="E84">
        <v>2.2440000000000002E-2</v>
      </c>
      <c r="F84" s="49">
        <f t="shared" si="352"/>
        <v>0.67949610384022607</v>
      </c>
      <c r="G84" s="1">
        <f t="shared" si="5"/>
        <v>0.68949610384022608</v>
      </c>
      <c r="H84">
        <f t="shared" si="1"/>
        <v>2.2440000000000002E-2</v>
      </c>
      <c r="I84">
        <f t="shared" si="6"/>
        <v>2.3940000000000003E-2</v>
      </c>
      <c r="K84">
        <v>295710</v>
      </c>
      <c r="L84" s="1">
        <v>9.51536E-11</v>
      </c>
      <c r="M84" s="1">
        <v>9.5131199999999994E-11</v>
      </c>
      <c r="N84">
        <v>1.9529999999999999E-2</v>
      </c>
      <c r="O84" s="1">
        <f t="shared" si="353"/>
        <v>0.43865150306790895</v>
      </c>
      <c r="P84" s="1">
        <f t="shared" si="7"/>
        <v>0.44865150306790896</v>
      </c>
      <c r="Q84">
        <f t="shared" si="354"/>
        <v>1.9529999999999999E-2</v>
      </c>
      <c r="R84">
        <f t="shared" si="8"/>
        <v>1.968E-2</v>
      </c>
      <c r="T84">
        <v>295710</v>
      </c>
      <c r="U84" s="1">
        <v>9.3516566666666666E-11</v>
      </c>
      <c r="V84" s="1">
        <v>9.3495200000000008E-11</v>
      </c>
      <c r="W84">
        <v>1.9060000000000001E-2</v>
      </c>
      <c r="X84" s="1">
        <f t="shared" si="355"/>
        <v>0.43110489282679421</v>
      </c>
      <c r="Y84">
        <f t="shared" si="356"/>
        <v>1.9060000000000001E-2</v>
      </c>
      <c r="AB84">
        <v>295710</v>
      </c>
      <c r="AC84" s="1">
        <v>1.4512433333333334E-10</v>
      </c>
      <c r="AD84" s="1">
        <v>1.4507033333333334E-10</v>
      </c>
      <c r="AE84">
        <v>2.2009999999999998E-2</v>
      </c>
      <c r="AF84" s="49">
        <f t="shared" si="357"/>
        <v>0.66901312139945213</v>
      </c>
      <c r="AG84">
        <f t="shared" si="358"/>
        <v>2.2009999999999998E-2</v>
      </c>
      <c r="AJ84">
        <v>295710</v>
      </c>
      <c r="AK84" s="1">
        <v>2.23717E-10</v>
      </c>
      <c r="AL84" s="1">
        <v>2.2283133333333335E-10</v>
      </c>
      <c r="AM84">
        <v>2.2579999999999999E-2</v>
      </c>
      <c r="AN84" s="49">
        <f t="shared" si="10"/>
        <v>1.0313198692623651</v>
      </c>
      <c r="AO84">
        <f t="shared" si="15"/>
        <v>2.2579999999999999E-2</v>
      </c>
      <c r="AS84" s="1"/>
      <c r="AT84" s="1"/>
      <c r="AV84" s="49"/>
      <c r="BA84" s="1"/>
      <c r="BB84" s="1"/>
      <c r="BD84" s="49"/>
    </row>
    <row r="85" spans="2:56" x14ac:dyDescent="0.25">
      <c r="B85">
        <v>300700</v>
      </c>
      <c r="C85" s="1">
        <v>1.4738866666666667E-10</v>
      </c>
      <c r="D85" s="1">
        <v>1.4733966666666666E-10</v>
      </c>
      <c r="E85">
        <v>2.2669999999999999E-2</v>
      </c>
      <c r="F85" s="49">
        <f t="shared" si="352"/>
        <v>0.6794515411766695</v>
      </c>
      <c r="G85" s="1">
        <f t="shared" si="5"/>
        <v>0.68945154117666951</v>
      </c>
      <c r="H85">
        <f t="shared" si="1"/>
        <v>2.2669999999999999E-2</v>
      </c>
      <c r="I85">
        <f t="shared" si="6"/>
        <v>2.4170000000000001E-2</v>
      </c>
      <c r="K85">
        <v>300700</v>
      </c>
      <c r="L85" s="1">
        <v>9.5150933333333332E-11</v>
      </c>
      <c r="M85" s="1">
        <v>9.5127766666666656E-11</v>
      </c>
      <c r="N85">
        <v>1.9709999999999998E-2</v>
      </c>
      <c r="O85" s="1">
        <f t="shared" si="353"/>
        <v>0.43863920991934158</v>
      </c>
      <c r="P85" s="1">
        <f t="shared" si="7"/>
        <v>0.44863920991934159</v>
      </c>
      <c r="Q85">
        <f t="shared" si="354"/>
        <v>1.9709999999999998E-2</v>
      </c>
      <c r="R85">
        <f t="shared" si="8"/>
        <v>1.9859999999999999E-2</v>
      </c>
      <c r="T85">
        <v>300700</v>
      </c>
      <c r="U85" s="1">
        <v>9.3510433333333333E-11</v>
      </c>
      <c r="V85" s="1">
        <v>9.3488600000000011E-11</v>
      </c>
      <c r="W85">
        <v>1.925E-2</v>
      </c>
      <c r="X85" s="1">
        <f t="shared" si="355"/>
        <v>0.43107661858508939</v>
      </c>
      <c r="Y85">
        <f t="shared" si="356"/>
        <v>1.925E-2</v>
      </c>
      <c r="AB85">
        <v>300700</v>
      </c>
      <c r="AC85" s="1">
        <v>1.4511333333333335E-10</v>
      </c>
      <c r="AD85" s="1">
        <v>1.45058E-10</v>
      </c>
      <c r="AE85">
        <v>2.2239999999999999E-2</v>
      </c>
      <c r="AF85" s="49">
        <f t="shared" si="357"/>
        <v>0.66896241216161201</v>
      </c>
      <c r="AG85">
        <f t="shared" si="358"/>
        <v>2.2239999999999999E-2</v>
      </c>
      <c r="AJ85">
        <v>300700</v>
      </c>
      <c r="AK85" s="1">
        <v>2.2356733333333333E-10</v>
      </c>
      <c r="AL85" s="1">
        <v>2.2267833333333333E-10</v>
      </c>
      <c r="AM85">
        <v>2.2790000000000001E-2</v>
      </c>
      <c r="AN85" s="49">
        <f t="shared" si="10"/>
        <v>1.0306299162990247</v>
      </c>
      <c r="AO85">
        <f t="shared" si="15"/>
        <v>2.2790000000000001E-2</v>
      </c>
      <c r="AS85" s="1"/>
      <c r="AT85" s="1"/>
      <c r="AV85" s="49"/>
      <c r="BA85" s="1"/>
      <c r="BB85" s="1"/>
      <c r="BD85" s="49"/>
    </row>
    <row r="86" spans="2:56" x14ac:dyDescent="0.25">
      <c r="B86">
        <v>305700</v>
      </c>
      <c r="C86" s="1">
        <v>1.4736666666666666E-10</v>
      </c>
      <c r="D86" s="1">
        <v>1.4731700000000001E-10</v>
      </c>
      <c r="E86">
        <v>2.2839999999999999E-2</v>
      </c>
      <c r="F86" s="49">
        <f t="shared" si="352"/>
        <v>0.67935012270098927</v>
      </c>
      <c r="G86" s="1">
        <f t="shared" si="5"/>
        <v>0.68935012270098928</v>
      </c>
      <c r="H86">
        <f t="shared" si="1"/>
        <v>2.2839999999999999E-2</v>
      </c>
      <c r="I86">
        <f t="shared" si="6"/>
        <v>2.4340000000000001E-2</v>
      </c>
      <c r="K86">
        <v>305700</v>
      </c>
      <c r="L86" s="1">
        <v>9.5141366666666661E-11</v>
      </c>
      <c r="M86" s="1">
        <v>9.5118133333333332E-11</v>
      </c>
      <c r="N86">
        <v>1.983E-2</v>
      </c>
      <c r="O86" s="1">
        <f t="shared" si="353"/>
        <v>0.43859510824885639</v>
      </c>
      <c r="P86" s="1">
        <f t="shared" si="7"/>
        <v>0.4485951082488564</v>
      </c>
      <c r="Q86">
        <f t="shared" si="354"/>
        <v>1.983E-2</v>
      </c>
      <c r="R86">
        <f t="shared" si="8"/>
        <v>1.9980000000000001E-2</v>
      </c>
      <c r="T86">
        <v>305700</v>
      </c>
      <c r="U86" s="1">
        <v>9.3497599999999998E-11</v>
      </c>
      <c r="V86" s="1">
        <v>9.347546666666667E-11</v>
      </c>
      <c r="W86">
        <v>1.9380000000000001E-2</v>
      </c>
      <c r="X86" s="1">
        <f t="shared" si="355"/>
        <v>0.43101745780760914</v>
      </c>
      <c r="Y86">
        <f t="shared" si="356"/>
        <v>1.9380000000000001E-2</v>
      </c>
      <c r="AB86">
        <v>305700</v>
      </c>
      <c r="AC86" s="1">
        <v>1.4508966666666669E-10</v>
      </c>
      <c r="AD86" s="1">
        <v>1.45034E-10</v>
      </c>
      <c r="AE86">
        <v>2.2380000000000001E-2</v>
      </c>
      <c r="AF86" s="49">
        <f t="shared" si="357"/>
        <v>0.66885331046807728</v>
      </c>
      <c r="AG86">
        <f t="shared" si="358"/>
        <v>2.2380000000000001E-2</v>
      </c>
      <c r="AJ86">
        <v>305700</v>
      </c>
      <c r="AK86" s="1">
        <v>2.2341133333333333E-10</v>
      </c>
      <c r="AL86" s="1">
        <v>2.2251933333333333E-10</v>
      </c>
      <c r="AM86">
        <v>2.2950000000000002E-2</v>
      </c>
      <c r="AN86" s="49">
        <f t="shared" si="10"/>
        <v>1.0299107671078371</v>
      </c>
      <c r="AO86">
        <f t="shared" si="15"/>
        <v>2.2950000000000002E-2</v>
      </c>
      <c r="AS86" s="1"/>
      <c r="AT86" s="1"/>
      <c r="AV86" s="49"/>
      <c r="BA86" s="1"/>
      <c r="BB86" s="1"/>
      <c r="BD86" s="49"/>
    </row>
    <row r="87" spans="2:56" x14ac:dyDescent="0.25">
      <c r="B87">
        <v>310690</v>
      </c>
      <c r="C87" s="1">
        <v>1.4734399999999999E-10</v>
      </c>
      <c r="D87" s="1">
        <v>1.4729333333333333E-10</v>
      </c>
      <c r="E87">
        <v>2.3019999999999999E-2</v>
      </c>
      <c r="F87" s="49">
        <f t="shared" si="352"/>
        <v>0.67924563093816703</v>
      </c>
      <c r="G87" s="1">
        <f t="shared" si="5"/>
        <v>0.68924563093816704</v>
      </c>
      <c r="H87">
        <f t="shared" si="1"/>
        <v>2.3019999999999999E-2</v>
      </c>
      <c r="I87">
        <f t="shared" si="6"/>
        <v>2.452E-2</v>
      </c>
      <c r="K87">
        <v>310690</v>
      </c>
      <c r="L87" s="1">
        <v>9.5134733333333337E-11</v>
      </c>
      <c r="M87" s="1">
        <v>9.5110799999999992E-11</v>
      </c>
      <c r="N87">
        <v>1.9980000000000001E-2</v>
      </c>
      <c r="O87" s="1">
        <f t="shared" si="353"/>
        <v>0.43856452904179521</v>
      </c>
      <c r="P87" s="1">
        <f t="shared" si="7"/>
        <v>0.44856452904179522</v>
      </c>
      <c r="Q87">
        <f t="shared" si="354"/>
        <v>1.9980000000000001E-2</v>
      </c>
      <c r="R87">
        <f t="shared" si="8"/>
        <v>2.0130000000000002E-2</v>
      </c>
      <c r="T87">
        <v>310690</v>
      </c>
      <c r="U87" s="1">
        <v>9.348309999999999E-11</v>
      </c>
      <c r="V87" s="1">
        <v>9.3460599999999991E-11</v>
      </c>
      <c r="W87">
        <v>1.9539999999999998E-2</v>
      </c>
      <c r="X87" s="1">
        <f t="shared" si="355"/>
        <v>0.43095061381227434</v>
      </c>
      <c r="Y87">
        <f t="shared" si="356"/>
        <v>1.9539999999999998E-2</v>
      </c>
      <c r="AB87">
        <v>310690</v>
      </c>
      <c r="AC87" s="1">
        <v>1.4506666666666668E-10</v>
      </c>
      <c r="AD87" s="1">
        <v>1.4501E-10</v>
      </c>
      <c r="AE87">
        <v>2.2550000000000001E-2</v>
      </c>
      <c r="AF87" s="49">
        <f t="shared" si="357"/>
        <v>0.6687472820616841</v>
      </c>
      <c r="AG87">
        <f t="shared" si="358"/>
        <v>2.2550000000000001E-2</v>
      </c>
      <c r="AJ87">
        <v>310690</v>
      </c>
      <c r="AK87" s="1">
        <v>2.2326866666666664E-10</v>
      </c>
      <c r="AL87" s="1">
        <v>2.2237333333333332E-10</v>
      </c>
      <c r="AM87">
        <v>2.3099999999999999E-2</v>
      </c>
      <c r="AN87" s="49">
        <f t="shared" si="10"/>
        <v>1.0292530836594858</v>
      </c>
      <c r="AO87">
        <f t="shared" si="15"/>
        <v>2.3099999999999999E-2</v>
      </c>
      <c r="AS87" s="1"/>
      <c r="AT87" s="1"/>
      <c r="AV87" s="49"/>
      <c r="BA87" s="1"/>
      <c r="BB87" s="1"/>
      <c r="BD87" s="49"/>
    </row>
    <row r="88" spans="2:56" x14ac:dyDescent="0.25">
      <c r="B88">
        <v>315690</v>
      </c>
      <c r="C88" s="1">
        <v>1.4732166666666666E-10</v>
      </c>
      <c r="D88" s="1">
        <v>1.4727033333333334E-10</v>
      </c>
      <c r="E88">
        <v>2.3210000000000001E-2</v>
      </c>
      <c r="F88" s="49">
        <f t="shared" si="352"/>
        <v>0.67914267581891585</v>
      </c>
      <c r="G88" s="1">
        <f t="shared" si="5"/>
        <v>0.68914267581891586</v>
      </c>
      <c r="H88">
        <f t="shared" si="1"/>
        <v>2.3210000000000001E-2</v>
      </c>
      <c r="I88">
        <f t="shared" si="6"/>
        <v>2.4710000000000003E-2</v>
      </c>
      <c r="K88">
        <v>315690</v>
      </c>
      <c r="L88" s="1">
        <v>9.5124666666666663E-11</v>
      </c>
      <c r="M88" s="1">
        <v>9.5100666666666664E-11</v>
      </c>
      <c r="N88">
        <v>2.0119999999999999E-2</v>
      </c>
      <c r="O88" s="1">
        <f t="shared" si="353"/>
        <v>0.43851812240595361</v>
      </c>
      <c r="P88" s="1">
        <f t="shared" si="7"/>
        <v>0.44851812240595362</v>
      </c>
      <c r="Q88">
        <f t="shared" si="354"/>
        <v>2.0119999999999999E-2</v>
      </c>
      <c r="R88">
        <f t="shared" si="8"/>
        <v>2.027E-2</v>
      </c>
      <c r="T88">
        <v>315690</v>
      </c>
      <c r="U88" s="1">
        <v>9.3468633333333334E-11</v>
      </c>
      <c r="V88" s="1">
        <v>9.344586666666667E-11</v>
      </c>
      <c r="W88">
        <v>1.966E-2</v>
      </c>
      <c r="X88" s="1">
        <f t="shared" si="355"/>
        <v>0.43088392348129678</v>
      </c>
      <c r="Y88">
        <f t="shared" si="356"/>
        <v>1.966E-2</v>
      </c>
      <c r="AB88">
        <v>315690</v>
      </c>
      <c r="AC88" s="1">
        <v>1.4504333333333334E-10</v>
      </c>
      <c r="AD88" s="1">
        <v>1.4498633333333334E-10</v>
      </c>
      <c r="AE88">
        <v>2.274E-2</v>
      </c>
      <c r="AF88" s="49">
        <f t="shared" si="357"/>
        <v>0.66863971701172009</v>
      </c>
      <c r="AG88">
        <f t="shared" si="358"/>
        <v>2.274E-2</v>
      </c>
      <c r="AJ88">
        <v>315690</v>
      </c>
      <c r="AK88" s="1">
        <v>2.2312333333333335E-10</v>
      </c>
      <c r="AL88" s="1">
        <v>2.2222566666666666E-10</v>
      </c>
      <c r="AM88">
        <v>2.3259999999999999E-2</v>
      </c>
      <c r="AN88" s="49">
        <f t="shared" si="10"/>
        <v>1.0285831070625675</v>
      </c>
      <c r="AO88">
        <f t="shared" si="15"/>
        <v>2.3259999999999999E-2</v>
      </c>
      <c r="AS88" s="1"/>
      <c r="AT88" s="1"/>
      <c r="AV88" s="49"/>
      <c r="BA88" s="1"/>
      <c r="BB88" s="1"/>
      <c r="BD88" s="49"/>
    </row>
    <row r="89" spans="2:56" x14ac:dyDescent="0.25">
      <c r="B89">
        <v>320680</v>
      </c>
      <c r="C89" s="1">
        <v>1.4729766666666666E-10</v>
      </c>
      <c r="D89" s="1">
        <v>1.4724566666666668E-10</v>
      </c>
      <c r="E89">
        <v>2.3359999999999999E-2</v>
      </c>
      <c r="F89" s="49">
        <f t="shared" si="352"/>
        <v>0.67903203748181007</v>
      </c>
      <c r="G89" s="1">
        <f t="shared" si="5"/>
        <v>0.68903203748181008</v>
      </c>
      <c r="H89">
        <f t="shared" ref="H89:H152" si="359">E89</f>
        <v>2.3359999999999999E-2</v>
      </c>
      <c r="I89">
        <f t="shared" si="6"/>
        <v>2.486E-2</v>
      </c>
      <c r="K89">
        <v>320680</v>
      </c>
      <c r="L89" s="1">
        <v>9.5115333333333318E-11</v>
      </c>
      <c r="M89" s="1">
        <v>9.5090933333333334E-11</v>
      </c>
      <c r="N89">
        <v>2.0250000000000001E-2</v>
      </c>
      <c r="O89" s="1">
        <f t="shared" si="353"/>
        <v>0.43847509638596793</v>
      </c>
      <c r="P89" s="1">
        <f t="shared" si="7"/>
        <v>0.44847509638596794</v>
      </c>
      <c r="Q89">
        <f t="shared" si="354"/>
        <v>2.0250000000000001E-2</v>
      </c>
      <c r="R89">
        <f t="shared" si="8"/>
        <v>2.0400000000000001E-2</v>
      </c>
      <c r="T89">
        <v>320680</v>
      </c>
      <c r="U89" s="1">
        <v>9.345470000000001E-11</v>
      </c>
      <c r="V89" s="1">
        <v>9.34316E-11</v>
      </c>
      <c r="W89">
        <v>1.9779999999999999E-2</v>
      </c>
      <c r="X89" s="1">
        <f t="shared" si="355"/>
        <v>0.43081969178003265</v>
      </c>
      <c r="Y89">
        <f t="shared" si="356"/>
        <v>1.9779999999999999E-2</v>
      </c>
      <c r="AB89">
        <v>320680</v>
      </c>
      <c r="AC89" s="1">
        <v>1.4502033333333335E-10</v>
      </c>
      <c r="AD89" s="1">
        <v>1.4496233333333335E-10</v>
      </c>
      <c r="AE89">
        <v>2.2890000000000001E-2</v>
      </c>
      <c r="AF89" s="49">
        <f t="shared" si="357"/>
        <v>0.66853368860532714</v>
      </c>
      <c r="AG89">
        <f t="shared" si="358"/>
        <v>2.2890000000000001E-2</v>
      </c>
      <c r="AJ89">
        <v>320680</v>
      </c>
      <c r="AK89" s="1">
        <v>2.2297233333333332E-10</v>
      </c>
      <c r="AL89" s="1">
        <v>2.2207166666666669E-10</v>
      </c>
      <c r="AM89">
        <v>2.3400000000000001E-2</v>
      </c>
      <c r="AN89" s="49">
        <f t="shared" si="10"/>
        <v>1.0278870075249436</v>
      </c>
      <c r="AO89">
        <f t="shared" si="15"/>
        <v>2.3400000000000001E-2</v>
      </c>
      <c r="AS89" s="1"/>
      <c r="AT89" s="1"/>
      <c r="AV89" s="49"/>
      <c r="BA89" s="1"/>
      <c r="BB89" s="1"/>
      <c r="BD89" s="49"/>
    </row>
    <row r="90" spans="2:56" x14ac:dyDescent="0.25">
      <c r="B90">
        <v>325680</v>
      </c>
      <c r="C90" s="1">
        <v>1.4727733333333335E-10</v>
      </c>
      <c r="D90" s="1">
        <v>1.4722399999999999E-10</v>
      </c>
      <c r="E90">
        <v>2.3550000000000001E-2</v>
      </c>
      <c r="F90" s="49">
        <f t="shared" si="352"/>
        <v>0.67893830222398444</v>
      </c>
      <c r="G90" s="1">
        <f t="shared" ref="G90:G153" si="360">F90+0.01</f>
        <v>0.68893830222398444</v>
      </c>
      <c r="H90">
        <f t="shared" si="359"/>
        <v>2.3550000000000001E-2</v>
      </c>
      <c r="I90">
        <f t="shared" ref="I90:I153" si="361">H90+0.0015</f>
        <v>2.5050000000000003E-2</v>
      </c>
      <c r="K90">
        <v>325680</v>
      </c>
      <c r="L90" s="1">
        <v>9.5094566666666671E-11</v>
      </c>
      <c r="M90" s="1">
        <v>9.5070133333333334E-11</v>
      </c>
      <c r="N90">
        <v>2.0389999999999998E-2</v>
      </c>
      <c r="O90" s="1">
        <f t="shared" si="353"/>
        <v>0.43837936349150014</v>
      </c>
      <c r="P90" s="1">
        <f t="shared" ref="P90:P153" si="362">O90+0.01</f>
        <v>0.44837936349150015</v>
      </c>
      <c r="Q90">
        <f t="shared" si="354"/>
        <v>2.0389999999999998E-2</v>
      </c>
      <c r="R90">
        <f t="shared" ref="R90:R153" si="363">Q90+0.00015</f>
        <v>2.0539999999999999E-2</v>
      </c>
      <c r="T90">
        <v>325680</v>
      </c>
      <c r="U90" s="1">
        <v>9.3440766666666672E-11</v>
      </c>
      <c r="V90" s="1">
        <v>9.3417366666666658E-11</v>
      </c>
      <c r="W90">
        <v>1.9949999999999999E-2</v>
      </c>
      <c r="X90" s="1">
        <f t="shared" si="355"/>
        <v>0.43075546007876836</v>
      </c>
      <c r="Y90">
        <f t="shared" si="356"/>
        <v>1.9949999999999999E-2</v>
      </c>
      <c r="AB90">
        <v>325680</v>
      </c>
      <c r="AC90" s="1">
        <v>1.4499700000000002E-10</v>
      </c>
      <c r="AD90" s="1">
        <v>1.44938E-10</v>
      </c>
      <c r="AE90">
        <v>2.3029999999999998E-2</v>
      </c>
      <c r="AF90" s="49">
        <f t="shared" si="357"/>
        <v>0.66842612355536313</v>
      </c>
      <c r="AG90">
        <f t="shared" si="358"/>
        <v>2.3029999999999998E-2</v>
      </c>
      <c r="AJ90">
        <v>325680</v>
      </c>
      <c r="AK90" s="1">
        <v>2.2284266666666666E-10</v>
      </c>
      <c r="AL90" s="1">
        <v>2.2193999999999999E-10</v>
      </c>
      <c r="AM90">
        <v>2.3560000000000001E-2</v>
      </c>
      <c r="AN90" s="49">
        <f t="shared" ref="AN90:AN153" si="364">(AK90*AI$9)/(AI$12*AI$5)</f>
        <v>1.0272892531758582</v>
      </c>
      <c r="AO90">
        <f t="shared" si="15"/>
        <v>2.3560000000000001E-2</v>
      </c>
      <c r="AS90" s="1"/>
      <c r="AT90" s="1"/>
      <c r="AV90" s="49"/>
      <c r="BA90" s="1"/>
      <c r="BB90" s="1"/>
      <c r="BD90" s="49"/>
    </row>
    <row r="91" spans="2:56" x14ac:dyDescent="0.25">
      <c r="B91">
        <v>330670</v>
      </c>
      <c r="C91" s="1">
        <v>1.4725433333333334E-10</v>
      </c>
      <c r="D91" s="1">
        <v>1.4720066666666668E-10</v>
      </c>
      <c r="E91">
        <v>2.3709999999999998E-2</v>
      </c>
      <c r="F91" s="49">
        <f t="shared" si="352"/>
        <v>0.67883227381759126</v>
      </c>
      <c r="G91" s="1">
        <f t="shared" si="360"/>
        <v>0.68883227381759127</v>
      </c>
      <c r="H91">
        <f t="shared" si="359"/>
        <v>2.3709999999999998E-2</v>
      </c>
      <c r="I91">
        <f t="shared" si="361"/>
        <v>2.521E-2</v>
      </c>
      <c r="K91">
        <v>330670</v>
      </c>
      <c r="L91" s="1">
        <v>9.5077800000000006E-11</v>
      </c>
      <c r="M91" s="1">
        <v>9.5052966666666658E-11</v>
      </c>
      <c r="N91">
        <v>2.052E-2</v>
      </c>
      <c r="O91" s="1">
        <f t="shared" si="353"/>
        <v>0.43830207031988311</v>
      </c>
      <c r="P91" s="1">
        <f t="shared" si="362"/>
        <v>0.44830207031988312</v>
      </c>
      <c r="Q91">
        <f t="shared" si="354"/>
        <v>2.052E-2</v>
      </c>
      <c r="R91">
        <f t="shared" si="363"/>
        <v>2.0670000000000001E-2</v>
      </c>
      <c r="T91">
        <v>330670</v>
      </c>
      <c r="U91" s="1">
        <v>9.3427166666666667E-11</v>
      </c>
      <c r="V91" s="1">
        <v>9.3403499999999987E-11</v>
      </c>
      <c r="W91">
        <v>2.0070000000000001E-2</v>
      </c>
      <c r="X91" s="1">
        <f t="shared" si="355"/>
        <v>0.43069276502107512</v>
      </c>
      <c r="Y91">
        <f t="shared" si="356"/>
        <v>2.0070000000000001E-2</v>
      </c>
      <c r="AB91">
        <v>330670</v>
      </c>
      <c r="AC91" s="1">
        <v>1.4497333333333334E-10</v>
      </c>
      <c r="AD91" s="1">
        <v>1.44914E-10</v>
      </c>
      <c r="AE91">
        <v>2.3179999999999999E-2</v>
      </c>
      <c r="AF91" s="49">
        <f t="shared" si="357"/>
        <v>0.66831702186182818</v>
      </c>
      <c r="AG91">
        <f t="shared" si="358"/>
        <v>2.3179999999999999E-2</v>
      </c>
      <c r="AJ91">
        <v>330670</v>
      </c>
      <c r="AK91" s="1">
        <v>2.2272399999999999E-10</v>
      </c>
      <c r="AL91" s="1">
        <v>2.2181733333333333E-10</v>
      </c>
      <c r="AM91">
        <v>2.3720000000000001E-2</v>
      </c>
      <c r="AN91" s="49">
        <f t="shared" si="364"/>
        <v>1.0267422080646127</v>
      </c>
      <c r="AO91">
        <f t="shared" ref="AO91:AO154" si="365">AM91</f>
        <v>2.3720000000000001E-2</v>
      </c>
      <c r="AS91" s="1"/>
      <c r="AT91" s="1"/>
      <c r="AV91" s="49"/>
      <c r="BA91" s="1"/>
      <c r="BB91" s="1"/>
      <c r="BD91" s="49"/>
    </row>
    <row r="92" spans="2:56" x14ac:dyDescent="0.25">
      <c r="B92">
        <v>335670</v>
      </c>
      <c r="C92" s="1">
        <v>1.47231E-10</v>
      </c>
      <c r="D92" s="1">
        <v>1.4717633333333334E-10</v>
      </c>
      <c r="E92">
        <v>2.3890000000000002E-2</v>
      </c>
      <c r="F92" s="49">
        <f t="shared" si="352"/>
        <v>0.67872470876762736</v>
      </c>
      <c r="G92" s="1">
        <f t="shared" si="360"/>
        <v>0.68872470876762737</v>
      </c>
      <c r="H92">
        <f t="shared" si="359"/>
        <v>2.3890000000000002E-2</v>
      </c>
      <c r="I92">
        <f t="shared" si="361"/>
        <v>2.5390000000000003E-2</v>
      </c>
      <c r="K92">
        <v>335670</v>
      </c>
      <c r="L92" s="1">
        <v>9.5055999999999997E-11</v>
      </c>
      <c r="M92" s="1">
        <v>9.503079999999999E-11</v>
      </c>
      <c r="N92">
        <v>2.0650000000000002E-2</v>
      </c>
      <c r="O92" s="1">
        <f t="shared" si="353"/>
        <v>0.43820157383034536</v>
      </c>
      <c r="P92" s="1">
        <f t="shared" si="362"/>
        <v>0.44820157383034537</v>
      </c>
      <c r="Q92">
        <f t="shared" si="354"/>
        <v>2.0650000000000002E-2</v>
      </c>
      <c r="R92">
        <f t="shared" si="363"/>
        <v>2.0800000000000003E-2</v>
      </c>
      <c r="T92">
        <v>335670</v>
      </c>
      <c r="U92" s="1">
        <v>9.3413666666666667E-11</v>
      </c>
      <c r="V92" s="1">
        <v>9.3389666666666655E-11</v>
      </c>
      <c r="W92">
        <v>2.0219999999999998E-2</v>
      </c>
      <c r="X92" s="1">
        <f t="shared" si="355"/>
        <v>0.43063053095645309</v>
      </c>
      <c r="Y92">
        <f t="shared" si="356"/>
        <v>2.0219999999999998E-2</v>
      </c>
      <c r="AB92">
        <v>335670</v>
      </c>
      <c r="AC92" s="1">
        <v>1.4494933333333334E-10</v>
      </c>
      <c r="AD92" s="1">
        <v>1.4488899999999999E-10</v>
      </c>
      <c r="AE92">
        <v>2.3369999999999998E-2</v>
      </c>
      <c r="AF92" s="49">
        <f t="shared" si="357"/>
        <v>0.66820638352472228</v>
      </c>
      <c r="AG92">
        <f t="shared" si="358"/>
        <v>2.3369999999999998E-2</v>
      </c>
      <c r="AJ92">
        <v>335670</v>
      </c>
      <c r="AK92" s="1">
        <v>2.2259699999999999E-10</v>
      </c>
      <c r="AL92" s="1">
        <v>2.2168799999999999E-10</v>
      </c>
      <c r="AM92">
        <v>2.3869999999999999E-2</v>
      </c>
      <c r="AN92" s="49">
        <f t="shared" si="364"/>
        <v>1.0261567468640946</v>
      </c>
      <c r="AO92">
        <f t="shared" si="365"/>
        <v>2.3869999999999999E-2</v>
      </c>
      <c r="AS92" s="1"/>
      <c r="AT92" s="1"/>
      <c r="AV92" s="49"/>
      <c r="BA92" s="1"/>
      <c r="BB92" s="1"/>
      <c r="BD92" s="49"/>
    </row>
    <row r="93" spans="2:56" x14ac:dyDescent="0.25">
      <c r="B93">
        <v>340660</v>
      </c>
      <c r="C93" s="1">
        <v>1.4720933333333334E-10</v>
      </c>
      <c r="D93" s="1">
        <v>1.4715433333333333E-10</v>
      </c>
      <c r="E93">
        <v>2.4060000000000002E-2</v>
      </c>
      <c r="F93" s="49">
        <f t="shared" si="352"/>
        <v>0.67862482693551784</v>
      </c>
      <c r="G93" s="1">
        <f t="shared" si="360"/>
        <v>0.68862482693551785</v>
      </c>
      <c r="H93">
        <f t="shared" si="359"/>
        <v>2.4060000000000002E-2</v>
      </c>
      <c r="I93">
        <f t="shared" si="361"/>
        <v>2.5560000000000003E-2</v>
      </c>
      <c r="K93">
        <v>340660</v>
      </c>
      <c r="L93" s="1">
        <v>9.5052933333333331E-11</v>
      </c>
      <c r="M93" s="1">
        <v>9.5027000000000007E-11</v>
      </c>
      <c r="N93">
        <v>2.078E-2</v>
      </c>
      <c r="O93" s="1">
        <f t="shared" si="353"/>
        <v>0.43818743670949295</v>
      </c>
      <c r="P93" s="1">
        <f t="shared" si="362"/>
        <v>0.44818743670949296</v>
      </c>
      <c r="Q93">
        <f t="shared" si="354"/>
        <v>2.078E-2</v>
      </c>
      <c r="R93">
        <f t="shared" si="363"/>
        <v>2.0930000000000001E-2</v>
      </c>
      <c r="T93">
        <v>340660</v>
      </c>
      <c r="U93" s="1">
        <v>9.3401733333333347E-11</v>
      </c>
      <c r="V93" s="1">
        <v>9.3377466666666657E-11</v>
      </c>
      <c r="W93">
        <v>2.0330000000000001E-2</v>
      </c>
      <c r="X93" s="1">
        <f t="shared" si="355"/>
        <v>0.4305755191166144</v>
      </c>
      <c r="Y93">
        <f t="shared" si="356"/>
        <v>2.0330000000000001E-2</v>
      </c>
      <c r="AB93">
        <v>340660</v>
      </c>
      <c r="AC93" s="1">
        <v>1.4492733333333336E-10</v>
      </c>
      <c r="AD93" s="1">
        <v>1.4486666666666667E-10</v>
      </c>
      <c r="AE93">
        <v>2.35E-2</v>
      </c>
      <c r="AF93" s="49">
        <f t="shared" si="357"/>
        <v>0.66810496504904204</v>
      </c>
      <c r="AG93">
        <f t="shared" si="358"/>
        <v>2.35E-2</v>
      </c>
      <c r="AJ93">
        <v>340660</v>
      </c>
      <c r="AK93" s="1">
        <v>2.2246933333333334E-10</v>
      </c>
      <c r="AL93" s="1">
        <v>2.2155733333333335E-10</v>
      </c>
      <c r="AM93">
        <v>2.401E-2</v>
      </c>
      <c r="AN93" s="49">
        <f t="shared" si="364"/>
        <v>1.0255682123764349</v>
      </c>
      <c r="AO93">
        <f t="shared" si="365"/>
        <v>2.401E-2</v>
      </c>
      <c r="AS93" s="1"/>
      <c r="AT93" s="1"/>
      <c r="AV93" s="49"/>
      <c r="BA93" s="1"/>
      <c r="BB93" s="1"/>
      <c r="BD93" s="49"/>
    </row>
    <row r="94" spans="2:56" x14ac:dyDescent="0.25">
      <c r="B94">
        <v>345660</v>
      </c>
      <c r="C94" s="1">
        <v>1.47186E-10</v>
      </c>
      <c r="D94" s="1">
        <v>1.4713000000000001E-10</v>
      </c>
      <c r="E94">
        <v>2.4209999999999999E-2</v>
      </c>
      <c r="F94" s="49">
        <f t="shared" si="352"/>
        <v>0.67851726188555395</v>
      </c>
      <c r="G94" s="1">
        <f t="shared" si="360"/>
        <v>0.68851726188555396</v>
      </c>
      <c r="H94">
        <f t="shared" si="359"/>
        <v>2.4209999999999999E-2</v>
      </c>
      <c r="I94">
        <f t="shared" si="361"/>
        <v>2.571E-2</v>
      </c>
      <c r="K94">
        <v>345660</v>
      </c>
      <c r="L94" s="1">
        <v>9.503829999999999E-11</v>
      </c>
      <c r="M94" s="1">
        <v>9.5011966666666668E-11</v>
      </c>
      <c r="N94">
        <v>2.0910000000000002E-2</v>
      </c>
      <c r="O94" s="1">
        <f t="shared" si="353"/>
        <v>0.43811997805672981</v>
      </c>
      <c r="P94" s="1">
        <f t="shared" si="362"/>
        <v>0.44811997805672982</v>
      </c>
      <c r="Q94">
        <f t="shared" si="354"/>
        <v>2.0910000000000002E-2</v>
      </c>
      <c r="R94">
        <f t="shared" si="363"/>
        <v>2.1060000000000002E-2</v>
      </c>
      <c r="T94">
        <v>345660</v>
      </c>
      <c r="U94" s="1">
        <v>9.3386533333333336E-11</v>
      </c>
      <c r="V94" s="1">
        <v>9.3361966666666666E-11</v>
      </c>
      <c r="W94">
        <v>2.0449999999999999E-2</v>
      </c>
      <c r="X94" s="1">
        <f t="shared" si="355"/>
        <v>0.4305054481697807</v>
      </c>
      <c r="Y94">
        <f t="shared" si="356"/>
        <v>2.0449999999999999E-2</v>
      </c>
      <c r="AB94">
        <v>345660</v>
      </c>
      <c r="AC94" s="1">
        <v>1.4490533333333335E-10</v>
      </c>
      <c r="AD94" s="1">
        <v>1.44844E-10</v>
      </c>
      <c r="AE94">
        <v>2.366E-2</v>
      </c>
      <c r="AF94" s="49">
        <f t="shared" si="357"/>
        <v>0.6680035465733617</v>
      </c>
      <c r="AG94">
        <f t="shared" si="358"/>
        <v>2.366E-2</v>
      </c>
      <c r="AJ94">
        <v>345660</v>
      </c>
      <c r="AK94" s="1">
        <v>2.2234433333333336E-10</v>
      </c>
      <c r="AL94" s="1">
        <v>2.2142966666666666E-10</v>
      </c>
      <c r="AM94">
        <v>2.4160000000000001E-2</v>
      </c>
      <c r="AN94" s="49">
        <f t="shared" si="364"/>
        <v>1.0249919710373421</v>
      </c>
      <c r="AO94">
        <f t="shared" si="365"/>
        <v>2.4160000000000001E-2</v>
      </c>
      <c r="AS94" s="1"/>
      <c r="AT94" s="1"/>
      <c r="AV94" s="49"/>
      <c r="BA94" s="1"/>
      <c r="BB94" s="1"/>
      <c r="BD94" s="49"/>
    </row>
    <row r="95" spans="2:56" x14ac:dyDescent="0.25">
      <c r="B95">
        <v>350650</v>
      </c>
      <c r="C95" s="1">
        <v>1.47165E-10</v>
      </c>
      <c r="D95" s="1">
        <v>1.4710800000000001E-10</v>
      </c>
      <c r="E95">
        <v>2.4389999999999998E-2</v>
      </c>
      <c r="F95" s="49">
        <f t="shared" si="352"/>
        <v>0.67842045334058632</v>
      </c>
      <c r="G95" s="1">
        <f t="shared" si="360"/>
        <v>0.68842045334058632</v>
      </c>
      <c r="H95">
        <f t="shared" si="359"/>
        <v>2.4389999999999998E-2</v>
      </c>
      <c r="I95">
        <f t="shared" si="361"/>
        <v>2.589E-2</v>
      </c>
      <c r="K95">
        <v>350650</v>
      </c>
      <c r="L95" s="1">
        <v>9.5021633333333331E-11</v>
      </c>
      <c r="M95" s="1">
        <v>9.4994899999999998E-11</v>
      </c>
      <c r="N95">
        <v>2.104E-2</v>
      </c>
      <c r="O95" s="1">
        <f t="shared" si="353"/>
        <v>0.43804314587818416</v>
      </c>
      <c r="P95" s="1">
        <f t="shared" si="362"/>
        <v>0.44804314587818417</v>
      </c>
      <c r="Q95">
        <f t="shared" si="354"/>
        <v>2.104E-2</v>
      </c>
      <c r="R95">
        <f t="shared" si="363"/>
        <v>2.1190000000000001E-2</v>
      </c>
      <c r="T95">
        <v>350650</v>
      </c>
      <c r="U95" s="1">
        <v>9.3374133333333338E-11</v>
      </c>
      <c r="V95" s="1">
        <v>9.3349233333333323E-11</v>
      </c>
      <c r="W95">
        <v>2.0580000000000001E-2</v>
      </c>
      <c r="X95" s="1">
        <f t="shared" si="355"/>
        <v>0.43044828502894272</v>
      </c>
      <c r="Y95">
        <f t="shared" si="356"/>
        <v>2.0580000000000001E-2</v>
      </c>
      <c r="AB95">
        <v>350650</v>
      </c>
      <c r="AC95" s="1">
        <v>1.4488333333333334E-10</v>
      </c>
      <c r="AD95" s="1">
        <v>1.4482066666666666E-10</v>
      </c>
      <c r="AE95">
        <v>2.3810000000000001E-2</v>
      </c>
      <c r="AF95" s="49">
        <f t="shared" si="357"/>
        <v>0.66790212809768146</v>
      </c>
      <c r="AG95">
        <f t="shared" si="358"/>
        <v>2.3810000000000001E-2</v>
      </c>
      <c r="AJ95">
        <v>350650</v>
      </c>
      <c r="AK95" s="1">
        <v>2.2222933333333333E-10</v>
      </c>
      <c r="AL95" s="1">
        <v>2.2131233333333335E-10</v>
      </c>
      <c r="AM95">
        <v>2.4320000000000001E-2</v>
      </c>
      <c r="AN95" s="49">
        <f t="shared" si="364"/>
        <v>1.0244618290053769</v>
      </c>
      <c r="AO95">
        <f t="shared" si="365"/>
        <v>2.4320000000000001E-2</v>
      </c>
      <c r="AS95" s="1"/>
      <c r="AT95" s="1"/>
      <c r="AV95" s="49"/>
      <c r="BA95" s="1"/>
      <c r="BB95" s="1"/>
      <c r="BD95" s="49"/>
    </row>
    <row r="96" spans="2:56" x14ac:dyDescent="0.25">
      <c r="B96">
        <v>355650</v>
      </c>
      <c r="C96" s="1">
        <v>1.4714366666666666E-10</v>
      </c>
      <c r="D96" s="1">
        <v>1.4708633333333332E-10</v>
      </c>
      <c r="E96">
        <v>2.4549999999999999E-2</v>
      </c>
      <c r="F96" s="49">
        <f t="shared" si="352"/>
        <v>0.67832210815204785</v>
      </c>
      <c r="G96" s="1">
        <f t="shared" si="360"/>
        <v>0.68832210815204786</v>
      </c>
      <c r="H96">
        <f t="shared" si="359"/>
        <v>2.4549999999999999E-2</v>
      </c>
      <c r="I96">
        <f t="shared" si="361"/>
        <v>2.605E-2</v>
      </c>
      <c r="K96">
        <v>355650</v>
      </c>
      <c r="L96" s="1">
        <v>9.5000666666666672E-11</v>
      </c>
      <c r="M96" s="1">
        <v>9.4973933333333325E-11</v>
      </c>
      <c r="N96">
        <v>2.1170000000000001E-2</v>
      </c>
      <c r="O96" s="1">
        <f t="shared" si="353"/>
        <v>0.43794649099757371</v>
      </c>
      <c r="P96" s="1">
        <f t="shared" si="362"/>
        <v>0.44794649099757372</v>
      </c>
      <c r="Q96">
        <f t="shared" si="354"/>
        <v>2.1170000000000001E-2</v>
      </c>
      <c r="R96">
        <f t="shared" si="363"/>
        <v>2.1320000000000002E-2</v>
      </c>
      <c r="T96">
        <v>355650</v>
      </c>
      <c r="U96" s="1">
        <v>9.3361633333333347E-11</v>
      </c>
      <c r="V96" s="1">
        <v>9.3336466666666667E-11</v>
      </c>
      <c r="W96">
        <v>2.0709999999999999E-2</v>
      </c>
      <c r="X96" s="1">
        <f t="shared" si="355"/>
        <v>0.43039066089503353</v>
      </c>
      <c r="Y96">
        <f t="shared" si="356"/>
        <v>2.0709999999999999E-2</v>
      </c>
      <c r="AB96">
        <v>355650</v>
      </c>
      <c r="AC96" s="1">
        <v>1.4485933333333331E-10</v>
      </c>
      <c r="AD96" s="1">
        <v>1.4479633333333334E-10</v>
      </c>
      <c r="AE96">
        <v>2.3949999999999999E-2</v>
      </c>
      <c r="AF96" s="49">
        <f t="shared" si="357"/>
        <v>0.66779148976057556</v>
      </c>
      <c r="AG96">
        <f t="shared" si="358"/>
        <v>2.3949999999999999E-2</v>
      </c>
      <c r="AJ96">
        <v>355650</v>
      </c>
      <c r="AK96" s="1">
        <v>2.2211033333333334E-10</v>
      </c>
      <c r="AL96" s="1">
        <v>2.2119066666666668E-10</v>
      </c>
      <c r="AM96">
        <v>2.443E-2</v>
      </c>
      <c r="AN96" s="49">
        <f t="shared" si="364"/>
        <v>1.0239132472505605</v>
      </c>
      <c r="AO96">
        <f t="shared" si="365"/>
        <v>2.443E-2</v>
      </c>
      <c r="AS96" s="1"/>
      <c r="AT96" s="1"/>
      <c r="AV96" s="49"/>
      <c r="BA96" s="1"/>
      <c r="BB96" s="1"/>
      <c r="BD96" s="49"/>
    </row>
    <row r="97" spans="2:56" x14ac:dyDescent="0.25">
      <c r="B97">
        <v>360640</v>
      </c>
      <c r="C97" s="1">
        <v>1.4712233333333332E-10</v>
      </c>
      <c r="D97" s="1">
        <v>1.4706400000000002E-10</v>
      </c>
      <c r="E97">
        <v>2.4680000000000001E-2</v>
      </c>
      <c r="F97" s="49">
        <f t="shared" si="352"/>
        <v>0.67822376296350928</v>
      </c>
      <c r="G97" s="1">
        <f t="shared" si="360"/>
        <v>0.68822376296350929</v>
      </c>
      <c r="H97">
        <f t="shared" si="359"/>
        <v>2.4680000000000001E-2</v>
      </c>
      <c r="I97">
        <f t="shared" si="361"/>
        <v>2.6180000000000002E-2</v>
      </c>
      <c r="K97">
        <v>360640</v>
      </c>
      <c r="L97" s="1">
        <v>9.4980000000000004E-11</v>
      </c>
      <c r="M97" s="1">
        <v>9.4953200000000005E-11</v>
      </c>
      <c r="N97">
        <v>2.1250000000000002E-2</v>
      </c>
      <c r="O97" s="1">
        <f t="shared" si="353"/>
        <v>0.43785121909617702</v>
      </c>
      <c r="P97" s="1">
        <f t="shared" si="362"/>
        <v>0.44785121909617703</v>
      </c>
      <c r="Q97">
        <f t="shared" si="354"/>
        <v>2.1250000000000002E-2</v>
      </c>
      <c r="R97">
        <f t="shared" si="363"/>
        <v>2.1400000000000002E-2</v>
      </c>
      <c r="T97">
        <v>360640</v>
      </c>
      <c r="U97" s="1">
        <v>9.3347833333333329E-11</v>
      </c>
      <c r="V97" s="1">
        <v>9.332236666666667E-11</v>
      </c>
      <c r="W97">
        <v>2.0820000000000002E-2</v>
      </c>
      <c r="X97" s="1">
        <f t="shared" si="355"/>
        <v>0.43032704385119758</v>
      </c>
      <c r="Y97">
        <f t="shared" si="356"/>
        <v>2.0820000000000002E-2</v>
      </c>
      <c r="AB97">
        <v>360640</v>
      </c>
      <c r="AC97" s="1">
        <v>1.4483733333333333E-10</v>
      </c>
      <c r="AD97" s="1">
        <v>1.4477366666666667E-10</v>
      </c>
      <c r="AE97">
        <v>2.41E-2</v>
      </c>
      <c r="AF97" s="49">
        <f t="shared" si="357"/>
        <v>0.66769007128489533</v>
      </c>
      <c r="AG97">
        <f t="shared" si="358"/>
        <v>2.41E-2</v>
      </c>
      <c r="AJ97">
        <v>360640</v>
      </c>
      <c r="AK97" s="1">
        <v>2.2198466666666666E-10</v>
      </c>
      <c r="AL97" s="1">
        <v>2.2106299999999998E-10</v>
      </c>
      <c r="AM97">
        <v>2.46E-2</v>
      </c>
      <c r="AN97" s="49">
        <f t="shared" si="364"/>
        <v>1.023333932624326</v>
      </c>
      <c r="AO97">
        <f t="shared" si="365"/>
        <v>2.46E-2</v>
      </c>
      <c r="AS97" s="1"/>
      <c r="AT97" s="1"/>
      <c r="AV97" s="49"/>
      <c r="BA97" s="1"/>
      <c r="BB97" s="1"/>
      <c r="BD97" s="49"/>
    </row>
    <row r="98" spans="2:56" x14ac:dyDescent="0.25">
      <c r="B98">
        <v>365640</v>
      </c>
      <c r="C98" s="1">
        <v>1.4710033333333333E-10</v>
      </c>
      <c r="D98" s="1">
        <v>1.4704133333333334E-10</v>
      </c>
      <c r="E98">
        <v>2.486E-2</v>
      </c>
      <c r="F98" s="49">
        <f t="shared" si="352"/>
        <v>0.67812234448782904</v>
      </c>
      <c r="G98" s="1">
        <f t="shared" si="360"/>
        <v>0.68812234448782905</v>
      </c>
      <c r="H98">
        <f t="shared" si="359"/>
        <v>2.486E-2</v>
      </c>
      <c r="I98">
        <f t="shared" si="361"/>
        <v>2.6360000000000001E-2</v>
      </c>
      <c r="K98">
        <v>365640</v>
      </c>
      <c r="L98" s="1">
        <v>9.4963066666666667E-11</v>
      </c>
      <c r="M98" s="1">
        <v>9.4935566666666664E-11</v>
      </c>
      <c r="N98">
        <v>2.137E-2</v>
      </c>
      <c r="O98" s="1">
        <f t="shared" si="353"/>
        <v>0.43777315760277463</v>
      </c>
      <c r="P98" s="1">
        <f t="shared" si="362"/>
        <v>0.44777315760277464</v>
      </c>
      <c r="Q98">
        <f t="shared" si="354"/>
        <v>2.137E-2</v>
      </c>
      <c r="R98">
        <f t="shared" si="363"/>
        <v>2.1520000000000001E-2</v>
      </c>
      <c r="T98">
        <v>365640</v>
      </c>
      <c r="U98" s="1">
        <v>9.3335533333333338E-11</v>
      </c>
      <c r="V98" s="1">
        <v>9.3309833333333339E-11</v>
      </c>
      <c r="W98">
        <v>2.0959999999999999E-2</v>
      </c>
      <c r="X98" s="1">
        <f t="shared" si="355"/>
        <v>0.43027034170343087</v>
      </c>
      <c r="Y98">
        <f t="shared" si="356"/>
        <v>2.0959999999999999E-2</v>
      </c>
      <c r="AB98">
        <v>365640</v>
      </c>
      <c r="AC98" s="1">
        <v>1.4481466666666669E-10</v>
      </c>
      <c r="AD98" s="1">
        <v>1.4474999999999997E-10</v>
      </c>
      <c r="AE98">
        <v>2.4250000000000001E-2</v>
      </c>
      <c r="AF98" s="49">
        <f t="shared" si="357"/>
        <v>0.6675855795220732</v>
      </c>
      <c r="AG98">
        <f t="shared" si="358"/>
        <v>2.4250000000000001E-2</v>
      </c>
      <c r="AJ98">
        <v>365640</v>
      </c>
      <c r="AK98" s="1">
        <v>2.2186500000000001E-10</v>
      </c>
      <c r="AL98" s="1">
        <v>2.2093999999999999E-10</v>
      </c>
      <c r="AM98">
        <v>2.4740000000000002E-2</v>
      </c>
      <c r="AN98" s="49">
        <f t="shared" si="364"/>
        <v>1.0227822775823681</v>
      </c>
      <c r="AO98">
        <f t="shared" si="365"/>
        <v>2.4740000000000002E-2</v>
      </c>
      <c r="AS98" s="1"/>
      <c r="AT98" s="1"/>
      <c r="AV98" s="49"/>
      <c r="BA98" s="1"/>
      <c r="BB98" s="1"/>
      <c r="BD98" s="49"/>
    </row>
    <row r="99" spans="2:56" x14ac:dyDescent="0.25">
      <c r="B99">
        <v>370630</v>
      </c>
      <c r="C99" s="1">
        <v>1.4707899999999999E-10</v>
      </c>
      <c r="D99" s="1">
        <v>1.4701933333333334E-10</v>
      </c>
      <c r="E99">
        <v>2.503E-2</v>
      </c>
      <c r="F99" s="49">
        <f t="shared" si="352"/>
        <v>0.67802399929929058</v>
      </c>
      <c r="G99" s="1">
        <f t="shared" si="360"/>
        <v>0.68802399929929059</v>
      </c>
      <c r="H99">
        <f t="shared" si="359"/>
        <v>2.503E-2</v>
      </c>
      <c r="I99">
        <f t="shared" si="361"/>
        <v>2.6530000000000001E-2</v>
      </c>
      <c r="K99">
        <v>370630</v>
      </c>
      <c r="L99" s="1">
        <v>9.4952266666666662E-11</v>
      </c>
      <c r="M99" s="1">
        <v>9.4924700000000006E-11</v>
      </c>
      <c r="N99">
        <v>2.1489999999999999E-2</v>
      </c>
      <c r="O99" s="1">
        <f t="shared" si="353"/>
        <v>0.43772337035107695</v>
      </c>
      <c r="P99" s="1">
        <f t="shared" si="362"/>
        <v>0.44772337035107695</v>
      </c>
      <c r="Q99">
        <f t="shared" si="354"/>
        <v>2.1489999999999999E-2</v>
      </c>
      <c r="R99">
        <f t="shared" si="363"/>
        <v>2.164E-2</v>
      </c>
      <c r="T99">
        <v>370630</v>
      </c>
      <c r="U99" s="1">
        <v>9.332236666666667E-11</v>
      </c>
      <c r="V99" s="1">
        <v>9.3296333333333327E-11</v>
      </c>
      <c r="W99">
        <v>2.1080000000000002E-2</v>
      </c>
      <c r="X99" s="1">
        <f t="shared" si="355"/>
        <v>0.43020964428237979</v>
      </c>
      <c r="Y99">
        <f t="shared" si="356"/>
        <v>2.1080000000000002E-2</v>
      </c>
      <c r="AB99">
        <v>370630</v>
      </c>
      <c r="AC99" s="1">
        <v>1.4479266666666665E-10</v>
      </c>
      <c r="AD99" s="1">
        <v>1.4472766666666666E-10</v>
      </c>
      <c r="AE99">
        <v>2.4389999999999998E-2</v>
      </c>
      <c r="AF99" s="49">
        <f t="shared" si="357"/>
        <v>0.66748416104639285</v>
      </c>
      <c r="AG99">
        <f t="shared" si="358"/>
        <v>2.4389999999999998E-2</v>
      </c>
      <c r="AJ99">
        <v>370630</v>
      </c>
      <c r="AK99" s="1">
        <v>2.2176299999999999E-10</v>
      </c>
      <c r="AL99" s="1">
        <v>2.20836E-10</v>
      </c>
      <c r="AM99">
        <v>2.4879999999999999E-2</v>
      </c>
      <c r="AN99" s="49">
        <f t="shared" si="364"/>
        <v>1.0223120646496684</v>
      </c>
      <c r="AO99">
        <f t="shared" si="365"/>
        <v>2.4879999999999999E-2</v>
      </c>
      <c r="AS99" s="1"/>
      <c r="AT99" s="1"/>
      <c r="AV99" s="49"/>
      <c r="BA99" s="1"/>
      <c r="BB99" s="1"/>
      <c r="BD99" s="49"/>
    </row>
    <row r="100" spans="2:56" x14ac:dyDescent="0.25">
      <c r="B100">
        <v>375630</v>
      </c>
      <c r="C100" s="1">
        <v>1.4699966666666666E-10</v>
      </c>
      <c r="D100" s="1">
        <v>1.4693933333333335E-10</v>
      </c>
      <c r="E100">
        <v>2.5180000000000001E-2</v>
      </c>
      <c r="F100" s="49">
        <f t="shared" si="352"/>
        <v>0.67765827812941315</v>
      </c>
      <c r="G100" s="1">
        <f t="shared" si="360"/>
        <v>0.68765827812941316</v>
      </c>
      <c r="H100">
        <f t="shared" si="359"/>
        <v>2.5180000000000001E-2</v>
      </c>
      <c r="I100">
        <f t="shared" si="361"/>
        <v>2.6680000000000002E-2</v>
      </c>
      <c r="K100">
        <v>375630</v>
      </c>
      <c r="L100" s="1">
        <v>9.4944366666666664E-11</v>
      </c>
      <c r="M100" s="1">
        <v>9.4916433333333336E-11</v>
      </c>
      <c r="N100">
        <v>2.164E-2</v>
      </c>
      <c r="O100" s="1">
        <f t="shared" si="353"/>
        <v>0.43768695189844631</v>
      </c>
      <c r="P100" s="1">
        <f t="shared" si="362"/>
        <v>0.44768695189844632</v>
      </c>
      <c r="Q100">
        <f t="shared" si="354"/>
        <v>2.164E-2</v>
      </c>
      <c r="R100">
        <f t="shared" si="363"/>
        <v>2.179E-2</v>
      </c>
      <c r="T100">
        <v>375630</v>
      </c>
      <c r="U100" s="1">
        <v>9.3308466666666659E-11</v>
      </c>
      <c r="V100" s="1">
        <v>9.3282133333333337E-11</v>
      </c>
      <c r="W100">
        <v>2.1190000000000001E-2</v>
      </c>
      <c r="X100" s="1">
        <f t="shared" si="355"/>
        <v>0.43014556624547268</v>
      </c>
      <c r="Y100">
        <f t="shared" si="356"/>
        <v>2.1190000000000001E-2</v>
      </c>
      <c r="AB100">
        <v>375630</v>
      </c>
      <c r="AC100" s="1">
        <v>1.4477000000000001E-10</v>
      </c>
      <c r="AD100" s="1">
        <v>1.4470433333333333E-10</v>
      </c>
      <c r="AE100">
        <v>2.4549999999999999E-2</v>
      </c>
      <c r="AF100" s="49">
        <f t="shared" si="357"/>
        <v>0.66737966928357073</v>
      </c>
      <c r="AG100">
        <f t="shared" si="358"/>
        <v>2.4549999999999999E-2</v>
      </c>
      <c r="AJ100">
        <v>375630</v>
      </c>
      <c r="AK100" s="1">
        <v>2.21656E-10</v>
      </c>
      <c r="AL100" s="1">
        <v>2.2072566666666664E-10</v>
      </c>
      <c r="AM100">
        <v>2.5010000000000001E-2</v>
      </c>
      <c r="AN100" s="49">
        <f t="shared" si="364"/>
        <v>1.0218188020634051</v>
      </c>
      <c r="AO100">
        <f t="shared" si="365"/>
        <v>2.5010000000000001E-2</v>
      </c>
      <c r="AS100" s="1"/>
      <c r="AT100" s="1"/>
      <c r="AV100" s="49"/>
      <c r="BA100" s="1"/>
      <c r="BB100" s="1"/>
      <c r="BD100" s="49"/>
    </row>
    <row r="101" spans="2:56" x14ac:dyDescent="0.25">
      <c r="B101">
        <v>380620</v>
      </c>
      <c r="C101" s="1">
        <v>1.4696666666666667E-10</v>
      </c>
      <c r="D101" s="1">
        <v>1.4690533333333334E-10</v>
      </c>
      <c r="E101">
        <v>2.5340000000000001E-2</v>
      </c>
      <c r="F101" s="49">
        <f t="shared" si="352"/>
        <v>0.67750615041589257</v>
      </c>
      <c r="G101" s="1">
        <f t="shared" si="360"/>
        <v>0.68750615041589258</v>
      </c>
      <c r="H101">
        <f t="shared" si="359"/>
        <v>2.5340000000000001E-2</v>
      </c>
      <c r="I101">
        <f t="shared" si="361"/>
        <v>2.6840000000000003E-2</v>
      </c>
      <c r="K101">
        <v>380620</v>
      </c>
      <c r="L101" s="1">
        <v>9.4937833333333334E-11</v>
      </c>
      <c r="M101" s="1">
        <v>9.4909499999999994E-11</v>
      </c>
      <c r="N101">
        <v>2.1739999999999999E-2</v>
      </c>
      <c r="O101" s="1">
        <f t="shared" si="353"/>
        <v>0.43765683368445646</v>
      </c>
      <c r="P101" s="1">
        <f t="shared" si="362"/>
        <v>0.44765683368445647</v>
      </c>
      <c r="Q101">
        <f t="shared" si="354"/>
        <v>2.1739999999999999E-2</v>
      </c>
      <c r="R101">
        <f t="shared" si="363"/>
        <v>2.189E-2</v>
      </c>
      <c r="T101">
        <v>380620</v>
      </c>
      <c r="U101" s="1">
        <v>9.3294400000000002E-11</v>
      </c>
      <c r="V101" s="1">
        <v>9.3267800000000001E-11</v>
      </c>
      <c r="W101">
        <v>2.1309999999999999E-2</v>
      </c>
      <c r="X101" s="1">
        <f t="shared" si="355"/>
        <v>0.43008071988678015</v>
      </c>
      <c r="Y101">
        <f t="shared" si="356"/>
        <v>2.1309999999999999E-2</v>
      </c>
      <c r="AB101">
        <v>380620</v>
      </c>
      <c r="AC101" s="1">
        <v>1.4474699999999999E-10</v>
      </c>
      <c r="AD101" s="1">
        <v>1.4468066666666667E-10</v>
      </c>
      <c r="AE101">
        <v>2.4680000000000001E-2</v>
      </c>
      <c r="AF101" s="49">
        <f t="shared" si="357"/>
        <v>0.66727364087717755</v>
      </c>
      <c r="AG101">
        <f t="shared" si="358"/>
        <v>2.4680000000000001E-2</v>
      </c>
      <c r="AJ101">
        <v>380620</v>
      </c>
      <c r="AK101" s="1">
        <v>2.215576666666667E-10</v>
      </c>
      <c r="AL101" s="1">
        <v>2.2062466666666668E-10</v>
      </c>
      <c r="AM101">
        <v>2.5139999999999999E-2</v>
      </c>
      <c r="AN101" s="49">
        <f t="shared" si="364"/>
        <v>1.0213654922099857</v>
      </c>
      <c r="AO101">
        <f t="shared" si="365"/>
        <v>2.5139999999999999E-2</v>
      </c>
      <c r="AS101" s="1"/>
      <c r="AT101" s="1"/>
      <c r="AV101" s="49"/>
      <c r="BA101" s="1"/>
      <c r="BB101" s="1"/>
      <c r="BD101" s="49"/>
    </row>
    <row r="102" spans="2:56" x14ac:dyDescent="0.25">
      <c r="B102">
        <v>385620</v>
      </c>
      <c r="C102" s="1">
        <v>1.4694866666666667E-10</v>
      </c>
      <c r="D102" s="1">
        <v>1.4688666666666665E-10</v>
      </c>
      <c r="E102">
        <v>2.5489999999999999E-2</v>
      </c>
      <c r="F102" s="49">
        <f t="shared" si="352"/>
        <v>0.67742317166306332</v>
      </c>
      <c r="G102" s="1">
        <f t="shared" si="360"/>
        <v>0.68742317166306333</v>
      </c>
      <c r="H102">
        <f t="shared" si="359"/>
        <v>2.5489999999999999E-2</v>
      </c>
      <c r="I102">
        <f t="shared" si="361"/>
        <v>2.699E-2</v>
      </c>
      <c r="K102">
        <v>385620</v>
      </c>
      <c r="L102" s="1">
        <v>9.4933766666666659E-11</v>
      </c>
      <c r="M102" s="1">
        <v>9.4905066666666661E-11</v>
      </c>
      <c r="N102">
        <v>2.1870000000000001E-2</v>
      </c>
      <c r="O102" s="1">
        <f t="shared" si="353"/>
        <v>0.43763808663289128</v>
      </c>
      <c r="P102" s="1">
        <f t="shared" si="362"/>
        <v>0.44763808663289129</v>
      </c>
      <c r="Q102">
        <f t="shared" si="354"/>
        <v>2.1870000000000001E-2</v>
      </c>
      <c r="R102">
        <f t="shared" si="363"/>
        <v>2.2020000000000001E-2</v>
      </c>
      <c r="T102">
        <v>385620</v>
      </c>
      <c r="U102" s="1">
        <v>9.3281433333333334E-11</v>
      </c>
      <c r="V102" s="1">
        <v>9.3254566666666667E-11</v>
      </c>
      <c r="W102">
        <v>2.1440000000000001E-2</v>
      </c>
      <c r="X102" s="1">
        <f t="shared" si="355"/>
        <v>0.43002094445187161</v>
      </c>
      <c r="Y102">
        <f t="shared" si="356"/>
        <v>2.1440000000000001E-2</v>
      </c>
      <c r="AB102">
        <v>385620</v>
      </c>
      <c r="AC102" s="1">
        <v>1.4472600000000002E-10</v>
      </c>
      <c r="AD102" s="1">
        <v>1.4465866666666669E-10</v>
      </c>
      <c r="AE102">
        <v>2.4819999999999998E-2</v>
      </c>
      <c r="AF102" s="49">
        <f t="shared" si="357"/>
        <v>0.66717683233221015</v>
      </c>
      <c r="AG102">
        <f t="shared" si="358"/>
        <v>2.4819999999999998E-2</v>
      </c>
      <c r="AJ102">
        <v>385620</v>
      </c>
      <c r="AK102" s="1">
        <v>2.21454E-10</v>
      </c>
      <c r="AL102" s="1">
        <v>2.2051833333333333E-10</v>
      </c>
      <c r="AM102">
        <v>2.53E-2</v>
      </c>
      <c r="AN102" s="49">
        <f t="shared" si="364"/>
        <v>1.0208875960594312</v>
      </c>
      <c r="AO102">
        <f t="shared" si="365"/>
        <v>2.53E-2</v>
      </c>
      <c r="AS102" s="1"/>
      <c r="AT102" s="1"/>
      <c r="AV102" s="49"/>
      <c r="BA102" s="1"/>
      <c r="BB102" s="1"/>
      <c r="BD102" s="49"/>
    </row>
    <row r="103" spans="2:56" x14ac:dyDescent="0.25">
      <c r="B103">
        <v>390610</v>
      </c>
      <c r="C103" s="1">
        <v>1.4693633333333335E-10</v>
      </c>
      <c r="D103" s="1">
        <v>1.4687399999999999E-10</v>
      </c>
      <c r="E103">
        <v>2.5649999999999999E-2</v>
      </c>
      <c r="F103" s="49">
        <f t="shared" si="352"/>
        <v>0.67736631585093954</v>
      </c>
      <c r="G103" s="1">
        <f t="shared" si="360"/>
        <v>0.68736631585093955</v>
      </c>
      <c r="H103">
        <f t="shared" si="359"/>
        <v>2.5649999999999999E-2</v>
      </c>
      <c r="I103">
        <f t="shared" si="361"/>
        <v>2.7150000000000001E-2</v>
      </c>
      <c r="K103">
        <v>390610</v>
      </c>
      <c r="L103" s="1">
        <v>9.4920699999999997E-11</v>
      </c>
      <c r="M103" s="1">
        <v>9.4891933333333333E-11</v>
      </c>
      <c r="N103">
        <v>2.196E-2</v>
      </c>
      <c r="O103" s="1">
        <f t="shared" si="353"/>
        <v>0.43757785020491147</v>
      </c>
      <c r="P103" s="1">
        <f t="shared" si="362"/>
        <v>0.44757785020491148</v>
      </c>
      <c r="Q103">
        <f t="shared" si="354"/>
        <v>2.196E-2</v>
      </c>
      <c r="R103">
        <f t="shared" si="363"/>
        <v>2.2110000000000001E-2</v>
      </c>
      <c r="T103">
        <v>390610</v>
      </c>
      <c r="U103" s="1">
        <v>9.3268633333333337E-11</v>
      </c>
      <c r="V103" s="1">
        <v>9.3241500000000006E-11</v>
      </c>
      <c r="W103">
        <v>2.154E-2</v>
      </c>
      <c r="X103" s="1">
        <f t="shared" si="355"/>
        <v>0.42996193733874855</v>
      </c>
      <c r="Y103">
        <f t="shared" si="356"/>
        <v>2.154E-2</v>
      </c>
      <c r="AB103">
        <v>390610</v>
      </c>
      <c r="AC103" s="1">
        <v>1.4470333333333335E-10</v>
      </c>
      <c r="AD103" s="1">
        <v>1.4463566666666665E-10</v>
      </c>
      <c r="AE103">
        <v>2.496E-2</v>
      </c>
      <c r="AF103" s="49">
        <f t="shared" si="357"/>
        <v>0.66707234056938802</v>
      </c>
      <c r="AG103">
        <f t="shared" si="358"/>
        <v>2.496E-2</v>
      </c>
      <c r="AJ103">
        <v>390610</v>
      </c>
      <c r="AK103" s="1">
        <v>2.2138133333333332E-10</v>
      </c>
      <c r="AL103" s="1">
        <v>2.2044266666666667E-10</v>
      </c>
      <c r="AM103">
        <v>2.5420000000000002E-2</v>
      </c>
      <c r="AN103" s="49">
        <f t="shared" si="364"/>
        <v>1.0205526077609721</v>
      </c>
      <c r="AO103">
        <f t="shared" si="365"/>
        <v>2.5420000000000002E-2</v>
      </c>
      <c r="AS103" s="1"/>
      <c r="AT103" s="1"/>
      <c r="AV103" s="49"/>
      <c r="BA103" s="1"/>
      <c r="BB103" s="1"/>
      <c r="BD103" s="49"/>
    </row>
    <row r="104" spans="2:56" x14ac:dyDescent="0.25">
      <c r="B104">
        <v>395610</v>
      </c>
      <c r="C104" s="1">
        <v>1.4692666666666666E-10</v>
      </c>
      <c r="D104" s="1">
        <v>1.4686333333333332E-10</v>
      </c>
      <c r="E104">
        <v>2.58E-2</v>
      </c>
      <c r="F104" s="49">
        <f t="shared" si="352"/>
        <v>0.67732175318738297</v>
      </c>
      <c r="G104" s="1">
        <f t="shared" si="360"/>
        <v>0.68732175318738298</v>
      </c>
      <c r="H104">
        <f t="shared" si="359"/>
        <v>2.58E-2</v>
      </c>
      <c r="I104">
        <f t="shared" si="361"/>
        <v>2.7300000000000001E-2</v>
      </c>
      <c r="K104">
        <v>395610</v>
      </c>
      <c r="L104" s="1">
        <v>9.4908000000000007E-11</v>
      </c>
      <c r="M104" s="1">
        <v>9.4878866666666671E-11</v>
      </c>
      <c r="N104">
        <v>2.2089999999999999E-2</v>
      </c>
      <c r="O104" s="1">
        <f t="shared" si="353"/>
        <v>0.43751930408485967</v>
      </c>
      <c r="P104" s="1">
        <f t="shared" si="362"/>
        <v>0.44751930408485968</v>
      </c>
      <c r="Q104">
        <f t="shared" si="354"/>
        <v>2.2089999999999999E-2</v>
      </c>
      <c r="R104">
        <f t="shared" si="363"/>
        <v>2.2239999999999999E-2</v>
      </c>
      <c r="T104">
        <v>395610</v>
      </c>
      <c r="U104" s="1">
        <v>9.3256066666666667E-11</v>
      </c>
      <c r="V104" s="1">
        <v>9.3228633333333343E-11</v>
      </c>
      <c r="W104">
        <v>2.1669999999999998E-2</v>
      </c>
      <c r="X104" s="1">
        <f t="shared" si="355"/>
        <v>0.42990400587612504</v>
      </c>
      <c r="Y104">
        <f t="shared" si="356"/>
        <v>2.1669999999999998E-2</v>
      </c>
      <c r="AB104">
        <v>395610</v>
      </c>
      <c r="AC104" s="1">
        <v>1.4468133333333331E-10</v>
      </c>
      <c r="AD104" s="1">
        <v>1.4461266666666666E-10</v>
      </c>
      <c r="AE104">
        <v>2.5080000000000002E-2</v>
      </c>
      <c r="AF104" s="49">
        <f t="shared" si="357"/>
        <v>0.66697092209370756</v>
      </c>
      <c r="AG104">
        <f t="shared" si="358"/>
        <v>2.5080000000000002E-2</v>
      </c>
      <c r="AJ104">
        <v>395610</v>
      </c>
      <c r="AK104" s="1">
        <v>2.2131733333333334E-10</v>
      </c>
      <c r="AL104" s="1">
        <v>2.2037566666666669E-10</v>
      </c>
      <c r="AM104">
        <v>2.555E-2</v>
      </c>
      <c r="AN104" s="49">
        <f t="shared" si="364"/>
        <v>1.0202575721953568</v>
      </c>
      <c r="AO104">
        <f t="shared" si="365"/>
        <v>2.555E-2</v>
      </c>
      <c r="AS104" s="1"/>
      <c r="AT104" s="1"/>
      <c r="AV104" s="49"/>
      <c r="BA104" s="1"/>
      <c r="BB104" s="1"/>
      <c r="BD104" s="49"/>
    </row>
    <row r="105" spans="2:56" x14ac:dyDescent="0.25">
      <c r="B105">
        <v>400600</v>
      </c>
      <c r="C105" s="1">
        <v>1.4692733333333335E-10</v>
      </c>
      <c r="D105" s="1">
        <v>1.4686333333333334E-10</v>
      </c>
      <c r="E105">
        <v>2.596E-2</v>
      </c>
      <c r="F105" s="49">
        <f t="shared" si="352"/>
        <v>0.67732482647452497</v>
      </c>
      <c r="G105" s="1">
        <f t="shared" si="360"/>
        <v>0.68732482647452497</v>
      </c>
      <c r="H105">
        <f t="shared" si="359"/>
        <v>2.596E-2</v>
      </c>
      <c r="I105">
        <f t="shared" si="361"/>
        <v>2.7460000000000002E-2</v>
      </c>
      <c r="K105">
        <v>400600</v>
      </c>
      <c r="L105" s="1">
        <v>9.4905066666666661E-11</v>
      </c>
      <c r="M105" s="1">
        <v>9.4875166666666668E-11</v>
      </c>
      <c r="N105">
        <v>2.2239999999999999E-2</v>
      </c>
      <c r="O105" s="1">
        <f t="shared" si="353"/>
        <v>0.43750578162143555</v>
      </c>
      <c r="P105" s="1">
        <f t="shared" si="362"/>
        <v>0.44750578162143556</v>
      </c>
      <c r="Q105">
        <f t="shared" si="354"/>
        <v>2.2239999999999999E-2</v>
      </c>
      <c r="R105">
        <f t="shared" si="363"/>
        <v>2.239E-2</v>
      </c>
      <c r="T105">
        <v>400600</v>
      </c>
      <c r="U105" s="1">
        <v>9.3251399999999995E-11</v>
      </c>
      <c r="V105" s="1">
        <v>9.3223533333333333E-11</v>
      </c>
      <c r="W105">
        <v>2.181E-2</v>
      </c>
      <c r="X105" s="1">
        <f t="shared" si="355"/>
        <v>0.42988249286613223</v>
      </c>
      <c r="Y105">
        <f t="shared" si="356"/>
        <v>2.181E-2</v>
      </c>
      <c r="AB105">
        <v>400600</v>
      </c>
      <c r="AC105" s="1">
        <v>1.4467266666666666E-10</v>
      </c>
      <c r="AD105" s="1">
        <v>1.4460333333333332E-10</v>
      </c>
      <c r="AE105">
        <v>2.5270000000000001E-2</v>
      </c>
      <c r="AF105" s="49">
        <f t="shared" si="357"/>
        <v>0.66693096936086382</v>
      </c>
      <c r="AG105">
        <f t="shared" si="358"/>
        <v>2.5270000000000001E-2</v>
      </c>
      <c r="AJ105">
        <v>400600</v>
      </c>
      <c r="AK105" s="1">
        <v>2.2126566666666667E-10</v>
      </c>
      <c r="AL105" s="1">
        <v>2.2032066666666666E-10</v>
      </c>
      <c r="AM105">
        <v>2.5700000000000001E-2</v>
      </c>
      <c r="AN105" s="49">
        <f t="shared" si="364"/>
        <v>1.020019392441865</v>
      </c>
      <c r="AO105">
        <f t="shared" si="365"/>
        <v>2.5700000000000001E-2</v>
      </c>
      <c r="AS105" s="1"/>
      <c r="AT105" s="1"/>
      <c r="AV105" s="49"/>
      <c r="BA105" s="1"/>
      <c r="BB105" s="1"/>
      <c r="BD105" s="49"/>
    </row>
    <row r="106" spans="2:56" x14ac:dyDescent="0.25">
      <c r="B106">
        <v>405600</v>
      </c>
      <c r="C106" s="1">
        <v>1.4691933333333333E-10</v>
      </c>
      <c r="D106" s="1">
        <v>1.4685433333333334E-10</v>
      </c>
      <c r="E106">
        <v>2.6110000000000001E-2</v>
      </c>
      <c r="F106" s="49">
        <f t="shared" si="352"/>
        <v>0.67728794702882278</v>
      </c>
      <c r="G106" s="1">
        <f t="shared" si="360"/>
        <v>0.68728794702882279</v>
      </c>
      <c r="H106">
        <f t="shared" si="359"/>
        <v>2.6110000000000001E-2</v>
      </c>
      <c r="I106">
        <f t="shared" si="361"/>
        <v>2.7610000000000003E-2</v>
      </c>
      <c r="K106">
        <v>405600</v>
      </c>
      <c r="L106" s="1">
        <v>9.4893866666666658E-11</v>
      </c>
      <c r="M106" s="1">
        <v>9.4863900000000011E-11</v>
      </c>
      <c r="N106">
        <v>2.2339999999999999E-2</v>
      </c>
      <c r="O106" s="1">
        <f t="shared" si="353"/>
        <v>0.43745415039745283</v>
      </c>
      <c r="P106" s="1">
        <f t="shared" si="362"/>
        <v>0.44745415039745284</v>
      </c>
      <c r="Q106">
        <f t="shared" si="354"/>
        <v>2.2339999999999999E-2</v>
      </c>
      <c r="R106">
        <f t="shared" si="363"/>
        <v>2.249E-2</v>
      </c>
      <c r="T106">
        <v>405600</v>
      </c>
      <c r="U106" s="1">
        <v>9.3237800000000002E-11</v>
      </c>
      <c r="V106" s="1">
        <v>9.3209633333333335E-11</v>
      </c>
      <c r="W106">
        <v>2.1940000000000001E-2</v>
      </c>
      <c r="X106" s="1">
        <f t="shared" si="355"/>
        <v>0.42981979780843899</v>
      </c>
      <c r="Y106">
        <f t="shared" si="356"/>
        <v>2.1940000000000001E-2</v>
      </c>
      <c r="AB106">
        <v>405600</v>
      </c>
      <c r="AC106" s="1">
        <v>1.4465266666666667E-10</v>
      </c>
      <c r="AD106" s="1">
        <v>1.4458299999999998E-10</v>
      </c>
      <c r="AE106">
        <v>2.5399999999999999E-2</v>
      </c>
      <c r="AF106" s="49">
        <f t="shared" si="357"/>
        <v>0.66683877074660902</v>
      </c>
      <c r="AG106">
        <f t="shared" si="358"/>
        <v>2.5399999999999999E-2</v>
      </c>
      <c r="AJ106">
        <v>405600</v>
      </c>
      <c r="AK106" s="1">
        <v>2.2109400000000002E-10</v>
      </c>
      <c r="AL106" s="1">
        <v>2.2014766666666665E-10</v>
      </c>
      <c r="AM106">
        <v>2.5819999999999999E-2</v>
      </c>
      <c r="AN106" s="49">
        <f t="shared" si="364"/>
        <v>1.0192280210028446</v>
      </c>
      <c r="AO106">
        <f t="shared" si="365"/>
        <v>2.5819999999999999E-2</v>
      </c>
      <c r="AS106" s="1"/>
      <c r="AT106" s="1"/>
      <c r="AV106" s="49"/>
      <c r="BA106" s="1"/>
      <c r="BB106" s="1"/>
      <c r="BD106" s="49"/>
    </row>
    <row r="107" spans="2:56" x14ac:dyDescent="0.25">
      <c r="B107">
        <v>410590</v>
      </c>
      <c r="C107" s="1">
        <v>1.46911E-10</v>
      </c>
      <c r="D107" s="1">
        <v>1.4684533333333332E-10</v>
      </c>
      <c r="E107">
        <v>2.6259999999999999E-2</v>
      </c>
      <c r="F107" s="49">
        <f t="shared" si="352"/>
        <v>0.67724953093955009</v>
      </c>
      <c r="G107" s="1">
        <f t="shared" si="360"/>
        <v>0.6872495309395501</v>
      </c>
      <c r="H107">
        <f t="shared" si="359"/>
        <v>2.6259999999999999E-2</v>
      </c>
      <c r="I107">
        <f t="shared" si="361"/>
        <v>2.776E-2</v>
      </c>
      <c r="K107">
        <v>410590</v>
      </c>
      <c r="L107" s="1">
        <v>9.491183333333333E-11</v>
      </c>
      <c r="M107" s="1">
        <v>9.4881133333333341E-11</v>
      </c>
      <c r="N107">
        <v>2.249E-2</v>
      </c>
      <c r="O107" s="1">
        <f t="shared" si="353"/>
        <v>0.43753697548592513</v>
      </c>
      <c r="P107" s="1">
        <f t="shared" si="362"/>
        <v>0.44753697548592514</v>
      </c>
      <c r="Q107">
        <f t="shared" si="354"/>
        <v>2.249E-2</v>
      </c>
      <c r="R107">
        <f t="shared" si="363"/>
        <v>2.264E-2</v>
      </c>
      <c r="T107">
        <v>410590</v>
      </c>
      <c r="U107" s="1">
        <v>9.3225099999999999E-11</v>
      </c>
      <c r="V107" s="1">
        <v>9.3196666666666667E-11</v>
      </c>
      <c r="W107">
        <v>2.2030000000000001E-2</v>
      </c>
      <c r="X107" s="1">
        <f t="shared" si="355"/>
        <v>0.42976125168838719</v>
      </c>
      <c r="Y107">
        <f t="shared" si="356"/>
        <v>2.2030000000000001E-2</v>
      </c>
      <c r="AB107">
        <v>410590</v>
      </c>
      <c r="AC107" s="1">
        <v>1.4463166666666667E-10</v>
      </c>
      <c r="AD107" s="1">
        <v>1.44561E-10</v>
      </c>
      <c r="AE107">
        <v>2.554E-2</v>
      </c>
      <c r="AF107" s="49">
        <f t="shared" si="357"/>
        <v>0.66674196220164161</v>
      </c>
      <c r="AG107">
        <f t="shared" si="358"/>
        <v>2.554E-2</v>
      </c>
      <c r="AJ107">
        <v>410590</v>
      </c>
      <c r="AK107" s="1">
        <v>2.2093999999999999E-10</v>
      </c>
      <c r="AL107" s="1">
        <v>2.1999133333333334E-10</v>
      </c>
      <c r="AM107">
        <v>2.598E-2</v>
      </c>
      <c r="AN107" s="49">
        <f t="shared" si="364"/>
        <v>1.0185180916730823</v>
      </c>
      <c r="AO107">
        <f t="shared" si="365"/>
        <v>2.598E-2</v>
      </c>
      <c r="AS107" s="1"/>
      <c r="AT107" s="1"/>
      <c r="AV107" s="49"/>
      <c r="BA107" s="1"/>
      <c r="BB107" s="1"/>
      <c r="BD107" s="49"/>
    </row>
    <row r="108" spans="2:56" x14ac:dyDescent="0.25">
      <c r="B108">
        <v>415590</v>
      </c>
      <c r="C108" s="1">
        <v>1.4690133333333333E-10</v>
      </c>
      <c r="D108" s="1">
        <v>1.4683500000000002E-10</v>
      </c>
      <c r="E108">
        <v>2.6409999999999999E-2</v>
      </c>
      <c r="F108" s="49">
        <f t="shared" si="352"/>
        <v>0.67720496827599364</v>
      </c>
      <c r="G108" s="1">
        <f t="shared" si="360"/>
        <v>0.68720496827599364</v>
      </c>
      <c r="H108">
        <f t="shared" si="359"/>
        <v>2.6409999999999999E-2</v>
      </c>
      <c r="I108">
        <f t="shared" si="361"/>
        <v>2.7910000000000001E-2</v>
      </c>
      <c r="K108">
        <v>415590</v>
      </c>
      <c r="L108" s="1">
        <v>9.4972733333333331E-11</v>
      </c>
      <c r="M108" s="1">
        <v>9.4941633333333343E-11</v>
      </c>
      <c r="N108">
        <v>2.256E-2</v>
      </c>
      <c r="O108" s="1">
        <f t="shared" si="353"/>
        <v>0.43781772026633109</v>
      </c>
      <c r="P108" s="1">
        <f t="shared" si="362"/>
        <v>0.4478177202663311</v>
      </c>
      <c r="Q108">
        <f t="shared" si="354"/>
        <v>2.256E-2</v>
      </c>
      <c r="R108">
        <f t="shared" si="363"/>
        <v>2.2710000000000001E-2</v>
      </c>
      <c r="T108">
        <v>415590</v>
      </c>
      <c r="U108" s="1">
        <v>9.3210233333333333E-11</v>
      </c>
      <c r="V108" s="1">
        <v>9.3181466666666668E-11</v>
      </c>
      <c r="W108">
        <v>2.2179999999999998E-2</v>
      </c>
      <c r="X108" s="1">
        <f t="shared" si="355"/>
        <v>0.42969271738512438</v>
      </c>
      <c r="Y108">
        <f t="shared" si="356"/>
        <v>2.2179999999999998E-2</v>
      </c>
      <c r="AB108">
        <v>415590</v>
      </c>
      <c r="AC108" s="1">
        <v>1.4460966666666669E-10</v>
      </c>
      <c r="AD108" s="1">
        <v>1.4453833333333333E-10</v>
      </c>
      <c r="AE108">
        <v>2.5669999999999998E-2</v>
      </c>
      <c r="AF108" s="49">
        <f t="shared" si="357"/>
        <v>0.66664054372596138</v>
      </c>
      <c r="AG108">
        <f t="shared" si="358"/>
        <v>2.5669999999999998E-2</v>
      </c>
      <c r="AJ108">
        <v>415590</v>
      </c>
      <c r="AK108" s="1">
        <v>2.2078133333333334E-10</v>
      </c>
      <c r="AL108" s="1">
        <v>2.1983066666666667E-10</v>
      </c>
      <c r="AM108">
        <v>2.6089999999999999E-2</v>
      </c>
      <c r="AN108" s="49">
        <f t="shared" si="364"/>
        <v>1.0177866493333272</v>
      </c>
      <c r="AO108">
        <f t="shared" si="365"/>
        <v>2.6089999999999999E-2</v>
      </c>
      <c r="AS108" s="1"/>
      <c r="AT108" s="1"/>
      <c r="AV108" s="49"/>
      <c r="BA108" s="1"/>
      <c r="BB108" s="1"/>
      <c r="BD108" s="49"/>
    </row>
    <row r="109" spans="2:56" x14ac:dyDescent="0.25">
      <c r="B109">
        <v>420580</v>
      </c>
      <c r="C109" s="1">
        <v>1.46894E-10</v>
      </c>
      <c r="D109" s="1">
        <v>1.46827E-10</v>
      </c>
      <c r="E109">
        <v>2.657E-2</v>
      </c>
      <c r="F109" s="49">
        <f t="shared" si="352"/>
        <v>0.67717116211743345</v>
      </c>
      <c r="G109" s="1">
        <f t="shared" si="360"/>
        <v>0.68717116211743345</v>
      </c>
      <c r="H109">
        <f t="shared" si="359"/>
        <v>2.657E-2</v>
      </c>
      <c r="I109">
        <f t="shared" si="361"/>
        <v>2.8070000000000001E-2</v>
      </c>
      <c r="K109">
        <v>420580</v>
      </c>
      <c r="L109" s="1">
        <v>9.4998000000000004E-11</v>
      </c>
      <c r="M109" s="1">
        <v>9.4966833333333324E-11</v>
      </c>
      <c r="N109">
        <v>2.2669999999999999E-2</v>
      </c>
      <c r="O109" s="1">
        <f t="shared" si="353"/>
        <v>0.43793419784900639</v>
      </c>
      <c r="P109" s="1">
        <f t="shared" si="362"/>
        <v>0.4479341978490064</v>
      </c>
      <c r="Q109">
        <f t="shared" si="354"/>
        <v>2.2669999999999999E-2</v>
      </c>
      <c r="R109">
        <f t="shared" si="363"/>
        <v>2.282E-2</v>
      </c>
      <c r="T109">
        <v>420580</v>
      </c>
      <c r="U109" s="1">
        <v>9.3194133333333345E-11</v>
      </c>
      <c r="V109" s="1">
        <v>9.3165166666666681E-11</v>
      </c>
      <c r="W109">
        <v>2.2259999999999999E-2</v>
      </c>
      <c r="X109" s="1">
        <f t="shared" si="355"/>
        <v>0.42961849750064929</v>
      </c>
      <c r="Y109">
        <f t="shared" si="356"/>
        <v>2.2259999999999999E-2</v>
      </c>
      <c r="AB109">
        <v>420580</v>
      </c>
      <c r="AC109" s="1">
        <v>1.4458866666666666E-10</v>
      </c>
      <c r="AD109" s="1">
        <v>1.4451666666666666E-10</v>
      </c>
      <c r="AE109">
        <v>2.58E-2</v>
      </c>
      <c r="AF109" s="49">
        <f t="shared" si="357"/>
        <v>0.66654373518099364</v>
      </c>
      <c r="AG109">
        <f t="shared" si="358"/>
        <v>2.58E-2</v>
      </c>
      <c r="AJ109">
        <v>420580</v>
      </c>
      <c r="AK109" s="1">
        <v>2.2048933333333332E-10</v>
      </c>
      <c r="AL109" s="1">
        <v>2.1953766666666666E-10</v>
      </c>
      <c r="AM109">
        <v>2.623E-2</v>
      </c>
      <c r="AN109" s="49">
        <f t="shared" si="364"/>
        <v>1.0164405495652067</v>
      </c>
      <c r="AO109">
        <f t="shared" si="365"/>
        <v>2.623E-2</v>
      </c>
      <c r="AS109" s="1"/>
      <c r="AT109" s="1"/>
      <c r="AV109" s="49"/>
      <c r="BA109" s="1"/>
      <c r="BB109" s="1"/>
      <c r="BD109" s="49"/>
    </row>
    <row r="110" spans="2:56" x14ac:dyDescent="0.25">
      <c r="B110">
        <v>425580</v>
      </c>
      <c r="C110" s="1">
        <v>1.4688633333333333E-10</v>
      </c>
      <c r="D110" s="1">
        <v>1.4681866666666666E-10</v>
      </c>
      <c r="E110">
        <v>2.6700000000000002E-2</v>
      </c>
      <c r="F110" s="49">
        <f t="shared" si="352"/>
        <v>0.67713581931530242</v>
      </c>
      <c r="G110" s="1">
        <f t="shared" si="360"/>
        <v>0.68713581931530243</v>
      </c>
      <c r="H110">
        <f t="shared" si="359"/>
        <v>2.6700000000000002E-2</v>
      </c>
      <c r="I110">
        <f t="shared" si="361"/>
        <v>2.8200000000000003E-2</v>
      </c>
      <c r="K110">
        <v>425580</v>
      </c>
      <c r="L110" s="1">
        <v>9.5016933333333332E-11</v>
      </c>
      <c r="M110" s="1">
        <v>9.4985700000000012E-11</v>
      </c>
      <c r="N110">
        <v>2.281E-2</v>
      </c>
      <c r="O110" s="1">
        <f t="shared" si="353"/>
        <v>0.43802147920383422</v>
      </c>
      <c r="P110" s="1">
        <f t="shared" si="362"/>
        <v>0.44802147920383423</v>
      </c>
      <c r="Q110">
        <f t="shared" si="354"/>
        <v>2.281E-2</v>
      </c>
      <c r="R110">
        <f t="shared" si="363"/>
        <v>2.2960000000000001E-2</v>
      </c>
      <c r="T110">
        <v>425580</v>
      </c>
      <c r="U110" s="1">
        <v>9.3180933333333337E-11</v>
      </c>
      <c r="V110" s="1">
        <v>9.3151699999999995E-11</v>
      </c>
      <c r="W110">
        <v>2.24E-2</v>
      </c>
      <c r="X110" s="1">
        <f t="shared" si="355"/>
        <v>0.42955764641524108</v>
      </c>
      <c r="Y110">
        <f t="shared" si="356"/>
        <v>2.24E-2</v>
      </c>
      <c r="AB110">
        <v>425580</v>
      </c>
      <c r="AC110" s="1">
        <v>1.4456800000000001E-10</v>
      </c>
      <c r="AD110" s="1">
        <v>1.4449466666666666E-10</v>
      </c>
      <c r="AE110">
        <v>2.596E-2</v>
      </c>
      <c r="AF110" s="49">
        <f t="shared" si="357"/>
        <v>0.66644846327959706</v>
      </c>
      <c r="AG110">
        <f t="shared" si="358"/>
        <v>2.596E-2</v>
      </c>
      <c r="AJ110">
        <v>425580</v>
      </c>
      <c r="AK110" s="1">
        <v>2.2020366666666666E-10</v>
      </c>
      <c r="AL110" s="1">
        <v>2.1925166666666666E-10</v>
      </c>
      <c r="AM110">
        <v>2.6360000000000001E-2</v>
      </c>
      <c r="AN110" s="49">
        <f t="shared" si="364"/>
        <v>1.0151236460249335</v>
      </c>
      <c r="AO110">
        <f t="shared" si="365"/>
        <v>2.6360000000000001E-2</v>
      </c>
      <c r="AS110" s="1"/>
      <c r="AT110" s="1"/>
      <c r="AV110" s="49"/>
      <c r="BA110" s="1"/>
      <c r="BB110" s="1"/>
      <c r="BD110" s="49"/>
    </row>
    <row r="111" spans="2:56" x14ac:dyDescent="0.25">
      <c r="B111">
        <v>430570</v>
      </c>
      <c r="C111" s="1">
        <v>1.46875E-10</v>
      </c>
      <c r="D111" s="1">
        <v>1.4680666666666666E-10</v>
      </c>
      <c r="E111">
        <v>2.6849999999999999E-2</v>
      </c>
      <c r="F111" s="49">
        <f t="shared" si="352"/>
        <v>0.67708357343389125</v>
      </c>
      <c r="G111" s="1">
        <f t="shared" si="360"/>
        <v>0.68708357343389126</v>
      </c>
      <c r="H111">
        <f t="shared" si="359"/>
        <v>2.6849999999999999E-2</v>
      </c>
      <c r="I111">
        <f t="shared" si="361"/>
        <v>2.835E-2</v>
      </c>
      <c r="K111">
        <v>430570</v>
      </c>
      <c r="L111" s="1">
        <v>9.5025433333333341E-11</v>
      </c>
      <c r="M111" s="1">
        <v>9.4993466666666664E-11</v>
      </c>
      <c r="N111">
        <v>2.291E-2</v>
      </c>
      <c r="O111" s="1">
        <f t="shared" si="353"/>
        <v>0.4380606636148926</v>
      </c>
      <c r="P111" s="1">
        <f t="shared" si="362"/>
        <v>0.44806066361489261</v>
      </c>
      <c r="Q111">
        <f t="shared" si="354"/>
        <v>2.291E-2</v>
      </c>
      <c r="R111">
        <f t="shared" si="363"/>
        <v>2.3060000000000001E-2</v>
      </c>
      <c r="T111">
        <v>430570</v>
      </c>
      <c r="U111" s="1">
        <v>9.3167166666666659E-11</v>
      </c>
      <c r="V111" s="1">
        <v>9.3137599999999998E-11</v>
      </c>
      <c r="W111">
        <v>2.2499999999999999E-2</v>
      </c>
      <c r="X111" s="1">
        <f t="shared" si="355"/>
        <v>0.42949418303576226</v>
      </c>
      <c r="Y111">
        <f t="shared" si="356"/>
        <v>2.2499999999999999E-2</v>
      </c>
      <c r="AB111">
        <v>430570</v>
      </c>
      <c r="AC111" s="1">
        <v>1.4454699999999998E-10</v>
      </c>
      <c r="AD111" s="1">
        <v>1.4447366666666666E-10</v>
      </c>
      <c r="AE111">
        <v>2.606E-2</v>
      </c>
      <c r="AF111" s="49">
        <f t="shared" si="357"/>
        <v>0.66635165473462932</v>
      </c>
      <c r="AG111">
        <f t="shared" si="358"/>
        <v>2.606E-2</v>
      </c>
      <c r="AJ111">
        <v>430570</v>
      </c>
      <c r="AK111" s="1">
        <v>2.201173333333333E-10</v>
      </c>
      <c r="AL111" s="1">
        <v>2.1916366666666669E-10</v>
      </c>
      <c r="AM111">
        <v>2.648E-2</v>
      </c>
      <c r="AN111" s="49">
        <f t="shared" si="364"/>
        <v>1.014725655340067</v>
      </c>
      <c r="AO111">
        <f t="shared" si="365"/>
        <v>2.648E-2</v>
      </c>
      <c r="AS111" s="1"/>
      <c r="AT111" s="1"/>
      <c r="AV111" s="49"/>
      <c r="BA111" s="1"/>
      <c r="BB111" s="1"/>
      <c r="BD111" s="49"/>
    </row>
    <row r="112" spans="2:56" x14ac:dyDescent="0.25">
      <c r="B112">
        <v>435570</v>
      </c>
      <c r="C112" s="1">
        <v>1.4686566666666665E-10</v>
      </c>
      <c r="D112" s="1">
        <v>1.4679633333333334E-10</v>
      </c>
      <c r="E112">
        <v>2.7009999999999999E-2</v>
      </c>
      <c r="F112" s="49">
        <f t="shared" si="352"/>
        <v>0.67704054741390574</v>
      </c>
      <c r="G112" s="1">
        <f t="shared" si="360"/>
        <v>0.68704054741390574</v>
      </c>
      <c r="H112">
        <f t="shared" si="359"/>
        <v>2.7009999999999999E-2</v>
      </c>
      <c r="I112">
        <f t="shared" si="361"/>
        <v>2.8510000000000001E-2</v>
      </c>
      <c r="K112">
        <v>435570</v>
      </c>
      <c r="L112" s="1">
        <v>9.5007299999999996E-11</v>
      </c>
      <c r="M112" s="1">
        <v>9.4975266666666653E-11</v>
      </c>
      <c r="N112">
        <v>2.3009999999999999E-2</v>
      </c>
      <c r="O112" s="1">
        <f t="shared" si="353"/>
        <v>0.43797707020463483</v>
      </c>
      <c r="P112" s="1">
        <f t="shared" si="362"/>
        <v>0.44797707020463484</v>
      </c>
      <c r="Q112">
        <f t="shared" si="354"/>
        <v>2.3009999999999999E-2</v>
      </c>
      <c r="R112">
        <f t="shared" si="363"/>
        <v>2.316E-2</v>
      </c>
      <c r="T112">
        <v>435570</v>
      </c>
      <c r="U112" s="1">
        <v>9.3154299999999997E-11</v>
      </c>
      <c r="V112" s="1">
        <v>9.3124466666666658E-11</v>
      </c>
      <c r="W112">
        <v>2.2610000000000002E-2</v>
      </c>
      <c r="X112" s="1">
        <f t="shared" si="355"/>
        <v>0.42943486859392505</v>
      </c>
      <c r="Y112">
        <f t="shared" si="356"/>
        <v>2.2610000000000002E-2</v>
      </c>
      <c r="AB112">
        <v>435570</v>
      </c>
      <c r="AC112" s="1">
        <v>1.4452699999999999E-10</v>
      </c>
      <c r="AD112" s="1">
        <v>1.4445266666666668E-10</v>
      </c>
      <c r="AE112">
        <v>2.6210000000000001E-2</v>
      </c>
      <c r="AF112" s="49">
        <f t="shared" si="357"/>
        <v>0.66625945612037452</v>
      </c>
      <c r="AG112">
        <f t="shared" si="358"/>
        <v>2.6210000000000001E-2</v>
      </c>
      <c r="AJ112">
        <v>435570</v>
      </c>
      <c r="AK112" s="1">
        <v>2.2003900000000001E-10</v>
      </c>
      <c r="AL112" s="1">
        <v>2.1908300000000003E-10</v>
      </c>
      <c r="AM112">
        <v>2.6589999999999999E-2</v>
      </c>
      <c r="AN112" s="49">
        <f t="shared" si="364"/>
        <v>1.0143645441009024</v>
      </c>
      <c r="AO112">
        <f t="shared" si="365"/>
        <v>2.6589999999999999E-2</v>
      </c>
      <c r="AS112" s="1"/>
      <c r="AT112" s="1"/>
      <c r="AV112" s="49"/>
      <c r="BA112" s="1"/>
      <c r="BB112" s="1"/>
      <c r="BD112" s="49"/>
    </row>
    <row r="113" spans="2:56" x14ac:dyDescent="0.25">
      <c r="B113">
        <v>440560</v>
      </c>
      <c r="C113" s="1">
        <v>1.4685500000000001E-10</v>
      </c>
      <c r="D113" s="1">
        <v>1.46785E-10</v>
      </c>
      <c r="E113">
        <v>2.7140000000000001E-2</v>
      </c>
      <c r="F113" s="49">
        <f t="shared" si="352"/>
        <v>0.67699137481963667</v>
      </c>
      <c r="G113" s="1">
        <f t="shared" si="360"/>
        <v>0.68699137481963668</v>
      </c>
      <c r="H113">
        <f t="shared" si="359"/>
        <v>2.7140000000000001E-2</v>
      </c>
      <c r="I113">
        <f t="shared" si="361"/>
        <v>2.8640000000000002E-2</v>
      </c>
      <c r="K113">
        <v>440560</v>
      </c>
      <c r="L113" s="1">
        <v>9.4989900000000007E-11</v>
      </c>
      <c r="M113" s="1">
        <v>9.4957533333333319E-11</v>
      </c>
      <c r="N113">
        <v>2.3109999999999999E-2</v>
      </c>
      <c r="O113" s="1">
        <f t="shared" si="353"/>
        <v>0.43789685741023315</v>
      </c>
      <c r="P113" s="1">
        <f t="shared" si="362"/>
        <v>0.44789685741023316</v>
      </c>
      <c r="Q113">
        <f t="shared" si="354"/>
        <v>2.3109999999999999E-2</v>
      </c>
      <c r="R113">
        <f t="shared" si="363"/>
        <v>2.3259999999999999E-2</v>
      </c>
      <c r="T113">
        <v>440560</v>
      </c>
      <c r="U113" s="1">
        <v>9.3142033333333332E-11</v>
      </c>
      <c r="V113" s="1">
        <v>9.311196666666668E-11</v>
      </c>
      <c r="W113">
        <v>2.2720000000000001E-2</v>
      </c>
      <c r="X113" s="1">
        <f t="shared" si="355"/>
        <v>0.42937832011051547</v>
      </c>
      <c r="Y113">
        <f t="shared" si="356"/>
        <v>2.2720000000000001E-2</v>
      </c>
      <c r="AB113">
        <v>440560</v>
      </c>
      <c r="AC113" s="1">
        <v>1.4450599999999999E-10</v>
      </c>
      <c r="AD113" s="1">
        <v>1.4443099999999999E-10</v>
      </c>
      <c r="AE113">
        <v>2.6329999999999999E-2</v>
      </c>
      <c r="AF113" s="49">
        <f t="shared" si="357"/>
        <v>0.66616264757540689</v>
      </c>
      <c r="AG113">
        <f t="shared" si="358"/>
        <v>2.6329999999999999E-2</v>
      </c>
      <c r="AJ113">
        <v>440560</v>
      </c>
      <c r="AK113" s="1">
        <v>2.1995233333333334E-10</v>
      </c>
      <c r="AL113" s="1">
        <v>2.1899399999999999E-10</v>
      </c>
      <c r="AM113">
        <v>2.6720000000000001E-2</v>
      </c>
      <c r="AN113" s="49">
        <f t="shared" si="364"/>
        <v>1.0139650167724645</v>
      </c>
      <c r="AO113">
        <f t="shared" si="365"/>
        <v>2.6720000000000001E-2</v>
      </c>
      <c r="AS113" s="1"/>
      <c r="AT113" s="1"/>
      <c r="AV113" s="49"/>
      <c r="BA113" s="1"/>
      <c r="BB113" s="1"/>
      <c r="BD113" s="49"/>
    </row>
    <row r="114" spans="2:56" x14ac:dyDescent="0.25">
      <c r="B114">
        <v>445560</v>
      </c>
      <c r="C114" s="1">
        <v>1.4684466666666668E-10</v>
      </c>
      <c r="D114" s="1">
        <v>1.4677433333333333E-10</v>
      </c>
      <c r="E114">
        <v>2.7289999999999998E-2</v>
      </c>
      <c r="F114" s="49">
        <f t="shared" si="352"/>
        <v>0.67694373886893833</v>
      </c>
      <c r="G114" s="1">
        <f t="shared" si="360"/>
        <v>0.68694373886893834</v>
      </c>
      <c r="H114">
        <f t="shared" si="359"/>
        <v>2.7289999999999998E-2</v>
      </c>
      <c r="I114">
        <f t="shared" si="361"/>
        <v>2.879E-2</v>
      </c>
      <c r="K114">
        <v>445560</v>
      </c>
      <c r="L114" s="1">
        <v>9.4976066666666675E-11</v>
      </c>
      <c r="M114" s="1">
        <v>9.4943300000000002E-11</v>
      </c>
      <c r="N114">
        <v>2.3230000000000001E-2</v>
      </c>
      <c r="O114" s="1">
        <f t="shared" si="353"/>
        <v>0.4378330867020403</v>
      </c>
      <c r="P114" s="1">
        <f t="shared" si="362"/>
        <v>0.44783308670204031</v>
      </c>
      <c r="Q114">
        <f t="shared" si="354"/>
        <v>2.3230000000000001E-2</v>
      </c>
      <c r="R114">
        <f t="shared" si="363"/>
        <v>2.3380000000000001E-2</v>
      </c>
      <c r="T114">
        <v>445560</v>
      </c>
      <c r="U114" s="1">
        <v>9.3129366666666669E-11</v>
      </c>
      <c r="V114" s="1">
        <v>9.3099033333333338E-11</v>
      </c>
      <c r="W114">
        <v>2.283E-2</v>
      </c>
      <c r="X114" s="1">
        <f t="shared" si="355"/>
        <v>0.42931992765482074</v>
      </c>
      <c r="Y114">
        <f t="shared" si="356"/>
        <v>2.283E-2</v>
      </c>
      <c r="AB114">
        <v>445560</v>
      </c>
      <c r="AC114" s="1">
        <v>1.4448566666666668E-10</v>
      </c>
      <c r="AD114" s="1">
        <v>1.4441033333333331E-10</v>
      </c>
      <c r="AE114">
        <v>2.648E-2</v>
      </c>
      <c r="AF114" s="49">
        <f t="shared" si="357"/>
        <v>0.66606891231758136</v>
      </c>
      <c r="AG114">
        <f t="shared" si="358"/>
        <v>2.648E-2</v>
      </c>
      <c r="AJ114">
        <v>445560</v>
      </c>
      <c r="AK114" s="1">
        <v>2.1987033333333336E-10</v>
      </c>
      <c r="AL114" s="1">
        <v>2.1891033333333332E-10</v>
      </c>
      <c r="AM114">
        <v>2.6849999999999999E-2</v>
      </c>
      <c r="AN114" s="49">
        <f t="shared" si="364"/>
        <v>1.0135870024540199</v>
      </c>
      <c r="AO114">
        <f t="shared" si="365"/>
        <v>2.6849999999999999E-2</v>
      </c>
      <c r="AS114" s="1"/>
      <c r="AT114" s="1"/>
      <c r="AV114" s="49"/>
      <c r="BA114" s="1"/>
      <c r="BB114" s="1"/>
      <c r="BD114" s="49"/>
    </row>
    <row r="115" spans="2:56" x14ac:dyDescent="0.25">
      <c r="B115">
        <v>450550</v>
      </c>
      <c r="C115" s="1">
        <v>1.4683166666666667E-10</v>
      </c>
      <c r="D115" s="1">
        <v>1.4675966666666667E-10</v>
      </c>
      <c r="E115">
        <v>2.743E-2</v>
      </c>
      <c r="F115" s="49">
        <f t="shared" si="352"/>
        <v>0.67688380976967255</v>
      </c>
      <c r="G115" s="1">
        <f t="shared" si="360"/>
        <v>0.68688380976967256</v>
      </c>
      <c r="H115">
        <f t="shared" si="359"/>
        <v>2.743E-2</v>
      </c>
      <c r="I115">
        <f t="shared" si="361"/>
        <v>2.8930000000000001E-2</v>
      </c>
      <c r="K115">
        <v>450550</v>
      </c>
      <c r="L115" s="1">
        <v>9.49454E-11</v>
      </c>
      <c r="M115" s="1">
        <v>9.4912233333333329E-11</v>
      </c>
      <c r="N115">
        <v>2.334E-2</v>
      </c>
      <c r="O115" s="1">
        <f t="shared" si="353"/>
        <v>0.43769171549351615</v>
      </c>
      <c r="P115" s="1">
        <f t="shared" si="362"/>
        <v>0.44769171549351616</v>
      </c>
      <c r="Q115">
        <f t="shared" si="354"/>
        <v>2.334E-2</v>
      </c>
      <c r="R115">
        <f t="shared" si="363"/>
        <v>2.349E-2</v>
      </c>
      <c r="T115">
        <v>450550</v>
      </c>
      <c r="U115" s="1">
        <v>9.3118000000000006E-11</v>
      </c>
      <c r="V115" s="1">
        <v>9.3087366666666657E-11</v>
      </c>
      <c r="W115">
        <v>2.2939999999999999E-2</v>
      </c>
      <c r="X115" s="1">
        <f t="shared" si="355"/>
        <v>0.42926752810905255</v>
      </c>
      <c r="Y115">
        <f t="shared" si="356"/>
        <v>2.2939999999999999E-2</v>
      </c>
      <c r="AB115">
        <v>450550</v>
      </c>
      <c r="AC115" s="1">
        <v>1.4446699999999999E-10</v>
      </c>
      <c r="AD115" s="1">
        <v>1.4439099999999999E-10</v>
      </c>
      <c r="AE115">
        <v>2.6589999999999999E-2</v>
      </c>
      <c r="AF115" s="49">
        <f t="shared" si="357"/>
        <v>0.66598286027761011</v>
      </c>
      <c r="AG115">
        <f t="shared" si="358"/>
        <v>2.6589999999999999E-2</v>
      </c>
      <c r="AJ115">
        <v>450550</v>
      </c>
      <c r="AK115" s="1">
        <v>2.1980200000000002E-10</v>
      </c>
      <c r="AL115" s="1">
        <v>2.1883933333333333E-10</v>
      </c>
      <c r="AM115">
        <v>2.6970000000000001E-2</v>
      </c>
      <c r="AN115" s="49">
        <f t="shared" si="364"/>
        <v>1.0132719905219827</v>
      </c>
      <c r="AO115">
        <f t="shared" si="365"/>
        <v>2.6970000000000001E-2</v>
      </c>
      <c r="AS115" s="1"/>
      <c r="AT115" s="1"/>
      <c r="AV115" s="49"/>
      <c r="BA115" s="1"/>
      <c r="BB115" s="1"/>
      <c r="BD115" s="49"/>
    </row>
    <row r="116" spans="2:56" x14ac:dyDescent="0.25">
      <c r="B116">
        <v>455550</v>
      </c>
      <c r="C116" s="1">
        <v>1.4681733333333334E-10</v>
      </c>
      <c r="D116" s="1">
        <v>1.4674533333333334E-10</v>
      </c>
      <c r="E116">
        <v>2.7560000000000001E-2</v>
      </c>
      <c r="F116" s="49">
        <f t="shared" si="352"/>
        <v>0.67681773409612322</v>
      </c>
      <c r="G116" s="1">
        <f t="shared" si="360"/>
        <v>0.68681773409612323</v>
      </c>
      <c r="H116">
        <f t="shared" si="359"/>
        <v>2.7560000000000001E-2</v>
      </c>
      <c r="I116">
        <f t="shared" si="361"/>
        <v>2.9060000000000002E-2</v>
      </c>
      <c r="K116">
        <v>455550</v>
      </c>
      <c r="L116" s="1">
        <v>9.4909100000000009E-11</v>
      </c>
      <c r="M116" s="1">
        <v>9.4875266666666661E-11</v>
      </c>
      <c r="N116">
        <v>2.3449999999999999E-2</v>
      </c>
      <c r="O116" s="1">
        <f t="shared" si="353"/>
        <v>0.43752437500864366</v>
      </c>
      <c r="P116" s="1">
        <f t="shared" si="362"/>
        <v>0.44752437500864367</v>
      </c>
      <c r="Q116">
        <f t="shared" si="354"/>
        <v>2.3449999999999999E-2</v>
      </c>
      <c r="R116">
        <f t="shared" si="363"/>
        <v>2.3599999999999999E-2</v>
      </c>
      <c r="T116">
        <v>455550</v>
      </c>
      <c r="U116" s="1">
        <v>9.3106033333333333E-11</v>
      </c>
      <c r="V116" s="1">
        <v>9.3075100000000005E-11</v>
      </c>
      <c r="W116">
        <v>2.3040000000000001E-2</v>
      </c>
      <c r="X116" s="1">
        <f t="shared" si="355"/>
        <v>0.42921236260485673</v>
      </c>
      <c r="Y116">
        <f t="shared" si="356"/>
        <v>2.3040000000000001E-2</v>
      </c>
      <c r="AB116">
        <v>455550</v>
      </c>
      <c r="AC116" s="1">
        <v>1.4444600000000002E-10</v>
      </c>
      <c r="AD116" s="1">
        <v>1.4436933333333335E-10</v>
      </c>
      <c r="AE116">
        <v>2.6710000000000001E-2</v>
      </c>
      <c r="AF116" s="49">
        <f t="shared" si="357"/>
        <v>0.66588605173264259</v>
      </c>
      <c r="AG116">
        <f t="shared" si="358"/>
        <v>2.6710000000000001E-2</v>
      </c>
      <c r="AJ116">
        <v>455550</v>
      </c>
      <c r="AK116" s="1">
        <v>2.1971933333333333E-10</v>
      </c>
      <c r="AL116" s="1">
        <v>2.187543333333333E-10</v>
      </c>
      <c r="AM116">
        <v>2.7089999999999999E-2</v>
      </c>
      <c r="AN116" s="49">
        <f t="shared" si="364"/>
        <v>1.0128909029163959</v>
      </c>
      <c r="AO116">
        <f t="shared" si="365"/>
        <v>2.7089999999999999E-2</v>
      </c>
      <c r="AS116" s="1"/>
      <c r="AT116" s="1"/>
      <c r="AV116" s="49"/>
      <c r="BA116" s="1"/>
      <c r="BB116" s="1"/>
      <c r="BD116" s="49"/>
    </row>
    <row r="117" spans="2:56" x14ac:dyDescent="0.25">
      <c r="B117">
        <v>460540</v>
      </c>
      <c r="C117" s="1">
        <v>1.4680133333333333E-10</v>
      </c>
      <c r="D117" s="1">
        <v>1.4672833333333332E-10</v>
      </c>
      <c r="E117">
        <v>2.7699999999999999E-2</v>
      </c>
      <c r="F117" s="49">
        <f t="shared" si="352"/>
        <v>0.67674397520471941</v>
      </c>
      <c r="G117" s="1">
        <f t="shared" si="360"/>
        <v>0.68674397520471941</v>
      </c>
      <c r="H117">
        <f t="shared" si="359"/>
        <v>2.7699999999999999E-2</v>
      </c>
      <c r="I117">
        <f t="shared" si="361"/>
        <v>2.92E-2</v>
      </c>
      <c r="K117">
        <v>460540</v>
      </c>
      <c r="L117" s="1">
        <v>9.4899633333333345E-11</v>
      </c>
      <c r="M117" s="1">
        <v>9.4865733333333343E-11</v>
      </c>
      <c r="N117">
        <v>2.3550000000000001E-2</v>
      </c>
      <c r="O117" s="1">
        <f t="shared" si="353"/>
        <v>0.4374807343312298</v>
      </c>
      <c r="P117" s="1">
        <f t="shared" si="362"/>
        <v>0.44748073433122981</v>
      </c>
      <c r="Q117">
        <f t="shared" si="354"/>
        <v>2.3550000000000001E-2</v>
      </c>
      <c r="R117">
        <f t="shared" si="363"/>
        <v>2.3700000000000002E-2</v>
      </c>
      <c r="T117">
        <v>460540</v>
      </c>
      <c r="U117" s="1">
        <v>9.3094433333333332E-11</v>
      </c>
      <c r="V117" s="1">
        <v>9.3063266666666665E-11</v>
      </c>
      <c r="W117">
        <v>2.316E-2</v>
      </c>
      <c r="X117" s="1">
        <f t="shared" si="355"/>
        <v>0.42915888740858898</v>
      </c>
      <c r="Y117">
        <f t="shared" si="356"/>
        <v>2.316E-2</v>
      </c>
      <c r="AB117">
        <v>460540</v>
      </c>
      <c r="AC117" s="1">
        <v>1.4442566666666666E-10</v>
      </c>
      <c r="AD117" s="1">
        <v>1.4434833333333335E-10</v>
      </c>
      <c r="AE117">
        <v>2.6849999999999999E-2</v>
      </c>
      <c r="AF117" s="49">
        <f t="shared" si="357"/>
        <v>0.66579231647481674</v>
      </c>
      <c r="AG117">
        <f t="shared" si="358"/>
        <v>2.6849999999999999E-2</v>
      </c>
      <c r="AJ117">
        <v>460540</v>
      </c>
      <c r="AK117" s="1">
        <v>2.1962233333333332E-10</v>
      </c>
      <c r="AL117" s="1">
        <v>2.1865500000000001E-10</v>
      </c>
      <c r="AM117">
        <v>2.7210000000000002E-2</v>
      </c>
      <c r="AN117" s="49">
        <f t="shared" si="364"/>
        <v>1.0124437396372599</v>
      </c>
      <c r="AO117">
        <f t="shared" si="365"/>
        <v>2.7210000000000002E-2</v>
      </c>
      <c r="AS117" s="1"/>
      <c r="AT117" s="1"/>
      <c r="AV117" s="49"/>
      <c r="BA117" s="1"/>
      <c r="BB117" s="1"/>
      <c r="BD117" s="49"/>
    </row>
    <row r="118" spans="2:56" x14ac:dyDescent="0.25">
      <c r="B118">
        <v>465540</v>
      </c>
      <c r="C118" s="1">
        <v>1.4678433333333334E-10</v>
      </c>
      <c r="D118" s="1">
        <v>1.4671100000000001E-10</v>
      </c>
      <c r="E118">
        <v>2.784E-2</v>
      </c>
      <c r="F118" s="49">
        <f t="shared" si="352"/>
        <v>0.67666560638260276</v>
      </c>
      <c r="G118" s="1">
        <f t="shared" si="360"/>
        <v>0.68666560638260277</v>
      </c>
      <c r="H118">
        <f t="shared" si="359"/>
        <v>2.784E-2</v>
      </c>
      <c r="I118">
        <f t="shared" si="361"/>
        <v>2.9340000000000001E-2</v>
      </c>
      <c r="K118">
        <v>465540</v>
      </c>
      <c r="L118" s="1">
        <v>9.4897600000000001E-11</v>
      </c>
      <c r="M118" s="1">
        <v>9.4863300000000001E-11</v>
      </c>
      <c r="N118">
        <v>2.3650000000000001E-2</v>
      </c>
      <c r="O118" s="1">
        <f t="shared" si="353"/>
        <v>0.43747136080544718</v>
      </c>
      <c r="P118" s="1">
        <f t="shared" si="362"/>
        <v>0.44747136080544719</v>
      </c>
      <c r="Q118">
        <f t="shared" si="354"/>
        <v>2.3650000000000001E-2</v>
      </c>
      <c r="R118">
        <f t="shared" si="363"/>
        <v>2.3800000000000002E-2</v>
      </c>
      <c r="T118">
        <v>465540</v>
      </c>
      <c r="U118" s="1">
        <v>9.3082000000000007E-11</v>
      </c>
      <c r="V118" s="1">
        <v>9.3050533333333335E-11</v>
      </c>
      <c r="W118">
        <v>2.3269999999999999E-2</v>
      </c>
      <c r="X118" s="1">
        <f t="shared" si="355"/>
        <v>0.42910157060339388</v>
      </c>
      <c r="Y118">
        <f t="shared" si="356"/>
        <v>2.3269999999999999E-2</v>
      </c>
      <c r="AB118">
        <v>465540</v>
      </c>
      <c r="AC118" s="1">
        <v>1.4440533333333332E-10</v>
      </c>
      <c r="AD118" s="1">
        <v>1.4432700000000001E-10</v>
      </c>
      <c r="AE118">
        <v>2.6980000000000001E-2</v>
      </c>
      <c r="AF118" s="49">
        <f t="shared" si="357"/>
        <v>0.66569858121699099</v>
      </c>
      <c r="AG118">
        <f t="shared" si="358"/>
        <v>2.6980000000000001E-2</v>
      </c>
      <c r="AJ118">
        <v>465540</v>
      </c>
      <c r="AK118" s="1">
        <v>2.1953533333333335E-10</v>
      </c>
      <c r="AL118" s="1">
        <v>2.1856566666666667E-10</v>
      </c>
      <c r="AM118">
        <v>2.733E-2</v>
      </c>
      <c r="AN118" s="49">
        <f t="shared" si="364"/>
        <v>1.0120426756652516</v>
      </c>
      <c r="AO118">
        <f t="shared" si="365"/>
        <v>2.733E-2</v>
      </c>
      <c r="AS118" s="1"/>
      <c r="AT118" s="1"/>
      <c r="AV118" s="49"/>
      <c r="BA118" s="1"/>
      <c r="BB118" s="1"/>
      <c r="BD118" s="49"/>
    </row>
    <row r="119" spans="2:56" x14ac:dyDescent="0.25">
      <c r="B119">
        <v>470530</v>
      </c>
      <c r="C119" s="1">
        <v>1.4676833333333333E-10</v>
      </c>
      <c r="D119" s="1">
        <v>1.46694E-10</v>
      </c>
      <c r="E119">
        <v>2.7969999999999998E-2</v>
      </c>
      <c r="F119" s="49">
        <f t="shared" si="352"/>
        <v>0.67659184749119894</v>
      </c>
      <c r="G119" s="1">
        <f t="shared" si="360"/>
        <v>0.68659184749119895</v>
      </c>
      <c r="H119">
        <f t="shared" si="359"/>
        <v>2.7969999999999998E-2</v>
      </c>
      <c r="I119">
        <f t="shared" si="361"/>
        <v>2.947E-2</v>
      </c>
      <c r="K119">
        <v>470530</v>
      </c>
      <c r="L119" s="1">
        <v>9.4894299999999996E-11</v>
      </c>
      <c r="M119" s="1">
        <v>9.4859966666666682E-11</v>
      </c>
      <c r="N119">
        <v>2.3740000000000001E-2</v>
      </c>
      <c r="O119" s="1">
        <f t="shared" si="353"/>
        <v>0.4374561480340951</v>
      </c>
      <c r="P119" s="1">
        <f t="shared" si="362"/>
        <v>0.44745614803409511</v>
      </c>
      <c r="Q119">
        <f t="shared" si="354"/>
        <v>2.3740000000000001E-2</v>
      </c>
      <c r="R119">
        <f t="shared" si="363"/>
        <v>2.3890000000000002E-2</v>
      </c>
      <c r="T119">
        <v>470530</v>
      </c>
      <c r="U119" s="1">
        <v>9.3070066666666674E-11</v>
      </c>
      <c r="V119" s="1">
        <v>9.3038366666666663E-11</v>
      </c>
      <c r="W119">
        <v>2.3369999999999998E-2</v>
      </c>
      <c r="X119" s="1">
        <f t="shared" si="355"/>
        <v>0.42904655876355519</v>
      </c>
      <c r="Y119">
        <f t="shared" si="356"/>
        <v>2.3369999999999998E-2</v>
      </c>
      <c r="AB119">
        <v>470530</v>
      </c>
      <c r="AC119" s="1">
        <v>1.4438533333333336E-10</v>
      </c>
      <c r="AD119" s="1">
        <v>1.4430633333333333E-10</v>
      </c>
      <c r="AE119">
        <v>2.7089999999999999E-2</v>
      </c>
      <c r="AF119" s="49">
        <f t="shared" si="357"/>
        <v>0.6656063826027363</v>
      </c>
      <c r="AG119">
        <f t="shared" si="358"/>
        <v>2.7089999999999999E-2</v>
      </c>
      <c r="AJ119">
        <v>470530</v>
      </c>
      <c r="AK119" s="1">
        <v>2.1944799999999999E-10</v>
      </c>
      <c r="AL119" s="1">
        <v>2.1847633333333331E-10</v>
      </c>
      <c r="AM119">
        <v>2.7449999999999999E-2</v>
      </c>
      <c r="AN119" s="49">
        <f t="shared" si="364"/>
        <v>1.0116400750496719</v>
      </c>
      <c r="AO119">
        <f t="shared" si="365"/>
        <v>2.7449999999999999E-2</v>
      </c>
      <c r="AS119" s="1"/>
      <c r="AT119" s="1"/>
      <c r="AV119" s="49"/>
      <c r="BA119" s="1"/>
      <c r="BB119" s="1"/>
      <c r="BD119" s="49"/>
    </row>
    <row r="120" spans="2:56" x14ac:dyDescent="0.25">
      <c r="B120">
        <v>475530</v>
      </c>
      <c r="C120" s="1">
        <v>1.4675033333333333E-10</v>
      </c>
      <c r="D120" s="1">
        <v>1.4667500000000001E-10</v>
      </c>
      <c r="E120">
        <v>2.8119999999999999E-2</v>
      </c>
      <c r="F120" s="49">
        <f t="shared" si="352"/>
        <v>0.67650886873836957</v>
      </c>
      <c r="G120" s="1">
        <f t="shared" si="360"/>
        <v>0.68650886873836958</v>
      </c>
      <c r="H120">
        <f t="shared" si="359"/>
        <v>2.8119999999999999E-2</v>
      </c>
      <c r="I120">
        <f t="shared" si="361"/>
        <v>2.962E-2</v>
      </c>
      <c r="K120">
        <v>475530</v>
      </c>
      <c r="L120" s="1">
        <v>9.4883133333333332E-11</v>
      </c>
      <c r="M120" s="1">
        <v>9.4848433333333322E-11</v>
      </c>
      <c r="N120">
        <v>2.384E-2</v>
      </c>
      <c r="O120" s="1">
        <f t="shared" si="353"/>
        <v>0.43740467047446946</v>
      </c>
      <c r="P120" s="1">
        <f t="shared" si="362"/>
        <v>0.44740467047446947</v>
      </c>
      <c r="Q120">
        <f t="shared" si="354"/>
        <v>2.384E-2</v>
      </c>
      <c r="R120">
        <f t="shared" si="363"/>
        <v>2.3990000000000001E-2</v>
      </c>
      <c r="T120">
        <v>475530</v>
      </c>
      <c r="U120" s="1">
        <v>9.3056800000000001E-11</v>
      </c>
      <c r="V120" s="1">
        <v>9.3024799999999998E-11</v>
      </c>
      <c r="W120">
        <v>2.3470000000000001E-2</v>
      </c>
      <c r="X120" s="1">
        <f t="shared" si="355"/>
        <v>0.42898540034943278</v>
      </c>
      <c r="Y120">
        <f t="shared" si="356"/>
        <v>2.3470000000000001E-2</v>
      </c>
      <c r="AB120">
        <v>475530</v>
      </c>
      <c r="AC120" s="1">
        <v>1.4436400000000001E-10</v>
      </c>
      <c r="AD120" s="1">
        <v>1.4428533333333333E-10</v>
      </c>
      <c r="AE120">
        <v>2.7230000000000001E-2</v>
      </c>
      <c r="AF120" s="49">
        <f t="shared" si="357"/>
        <v>0.66550803741419784</v>
      </c>
      <c r="AG120">
        <f t="shared" si="358"/>
        <v>2.7230000000000001E-2</v>
      </c>
      <c r="AJ120">
        <v>475530</v>
      </c>
      <c r="AK120" s="1">
        <v>2.1942933333333332E-10</v>
      </c>
      <c r="AL120" s="1">
        <v>2.1845500000000002E-10</v>
      </c>
      <c r="AM120">
        <v>2.7560000000000001E-2</v>
      </c>
      <c r="AN120" s="49">
        <f t="shared" si="364"/>
        <v>1.0115540230097009</v>
      </c>
      <c r="AO120">
        <f t="shared" si="365"/>
        <v>2.7560000000000001E-2</v>
      </c>
      <c r="AS120" s="1"/>
      <c r="AT120" s="1"/>
      <c r="AV120" s="49"/>
      <c r="BA120" s="1"/>
      <c r="BB120" s="1"/>
      <c r="BD120" s="49"/>
    </row>
    <row r="121" spans="2:56" x14ac:dyDescent="0.25">
      <c r="B121">
        <v>480520</v>
      </c>
      <c r="C121" s="1">
        <v>1.4673499999999998E-10</v>
      </c>
      <c r="D121" s="1">
        <v>1.4665900000000001E-10</v>
      </c>
      <c r="E121">
        <v>2.8250000000000001E-2</v>
      </c>
      <c r="F121" s="49">
        <f t="shared" si="352"/>
        <v>0.67643818313410742</v>
      </c>
      <c r="G121" s="1">
        <f t="shared" si="360"/>
        <v>0.68643818313410743</v>
      </c>
      <c r="H121">
        <f t="shared" si="359"/>
        <v>2.8250000000000001E-2</v>
      </c>
      <c r="I121">
        <f t="shared" si="361"/>
        <v>2.9750000000000002E-2</v>
      </c>
      <c r="K121">
        <v>480520</v>
      </c>
      <c r="L121" s="1">
        <v>9.4871166666666659E-11</v>
      </c>
      <c r="M121" s="1">
        <v>9.4836100000000003E-11</v>
      </c>
      <c r="N121">
        <v>2.3939999999999999E-2</v>
      </c>
      <c r="O121" s="1">
        <f t="shared" si="353"/>
        <v>0.43734950497027358</v>
      </c>
      <c r="P121" s="1">
        <f t="shared" si="362"/>
        <v>0.44734950497027359</v>
      </c>
      <c r="Q121">
        <f t="shared" si="354"/>
        <v>2.3939999999999999E-2</v>
      </c>
      <c r="R121">
        <f t="shared" si="363"/>
        <v>2.409E-2</v>
      </c>
      <c r="T121">
        <v>480520</v>
      </c>
      <c r="U121" s="1">
        <v>9.3046100000000002E-11</v>
      </c>
      <c r="V121" s="1">
        <v>9.301386666666666E-11</v>
      </c>
      <c r="W121">
        <v>2.3560000000000001E-2</v>
      </c>
      <c r="X121" s="1">
        <f t="shared" si="355"/>
        <v>0.42893607409080642</v>
      </c>
      <c r="Y121">
        <f t="shared" si="356"/>
        <v>2.3560000000000001E-2</v>
      </c>
      <c r="AB121">
        <v>480520</v>
      </c>
      <c r="AC121" s="1">
        <v>1.4434433333333332E-10</v>
      </c>
      <c r="AD121" s="1">
        <v>1.4426466666666667E-10</v>
      </c>
      <c r="AE121">
        <v>2.734E-2</v>
      </c>
      <c r="AF121" s="49">
        <f t="shared" si="357"/>
        <v>0.66541737544351376</v>
      </c>
      <c r="AG121">
        <f t="shared" si="358"/>
        <v>2.734E-2</v>
      </c>
      <c r="AJ121">
        <v>480520</v>
      </c>
      <c r="AK121" s="1">
        <v>2.194273333333333E-10</v>
      </c>
      <c r="AL121" s="1">
        <v>2.1845000000000001E-10</v>
      </c>
      <c r="AM121">
        <v>2.768E-2</v>
      </c>
      <c r="AN121" s="49">
        <f t="shared" si="364"/>
        <v>1.0115448031482754</v>
      </c>
      <c r="AO121">
        <f t="shared" si="365"/>
        <v>2.768E-2</v>
      </c>
      <c r="AS121" s="1"/>
      <c r="AT121" s="1"/>
      <c r="AV121" s="49"/>
      <c r="BA121" s="1"/>
      <c r="BB121" s="1"/>
      <c r="BD121" s="49"/>
    </row>
    <row r="122" spans="2:56" x14ac:dyDescent="0.25">
      <c r="B122">
        <v>485520</v>
      </c>
      <c r="C122" s="1">
        <v>1.4671866666666668E-10</v>
      </c>
      <c r="D122" s="1">
        <v>1.4664200000000001E-10</v>
      </c>
      <c r="E122">
        <v>2.8389999999999999E-2</v>
      </c>
      <c r="F122" s="49">
        <f t="shared" si="352"/>
        <v>0.67636288759913288</v>
      </c>
      <c r="G122" s="1">
        <f t="shared" si="360"/>
        <v>0.68636288759913289</v>
      </c>
      <c r="H122">
        <f t="shared" si="359"/>
        <v>2.8389999999999999E-2</v>
      </c>
      <c r="I122">
        <f t="shared" si="361"/>
        <v>2.989E-2</v>
      </c>
      <c r="K122">
        <v>485520</v>
      </c>
      <c r="L122" s="1">
        <v>9.4870333333333336E-11</v>
      </c>
      <c r="M122" s="1">
        <v>9.4834833333333329E-11</v>
      </c>
      <c r="N122">
        <v>2.4029999999999999E-2</v>
      </c>
      <c r="O122" s="1">
        <f t="shared" si="353"/>
        <v>0.43734566336134645</v>
      </c>
      <c r="P122" s="1">
        <f t="shared" si="362"/>
        <v>0.44734566336134646</v>
      </c>
      <c r="Q122">
        <f t="shared" si="354"/>
        <v>2.4029999999999999E-2</v>
      </c>
      <c r="R122">
        <f t="shared" si="363"/>
        <v>2.418E-2</v>
      </c>
      <c r="T122">
        <v>485520</v>
      </c>
      <c r="U122" s="1">
        <v>9.3034300000000002E-11</v>
      </c>
      <c r="V122" s="1">
        <v>9.3001733333333328E-11</v>
      </c>
      <c r="W122">
        <v>2.367E-2</v>
      </c>
      <c r="X122" s="1">
        <f t="shared" si="355"/>
        <v>0.42888167690839613</v>
      </c>
      <c r="Y122">
        <f t="shared" si="356"/>
        <v>2.367E-2</v>
      </c>
      <c r="AB122">
        <v>485520</v>
      </c>
      <c r="AC122" s="1">
        <v>1.4432566666666668E-10</v>
      </c>
      <c r="AD122" s="1">
        <v>1.4424533333333332E-10</v>
      </c>
      <c r="AE122">
        <v>2.7480000000000001E-2</v>
      </c>
      <c r="AF122" s="49">
        <f t="shared" si="357"/>
        <v>0.66533132340354273</v>
      </c>
      <c r="AG122">
        <f t="shared" si="358"/>
        <v>2.7480000000000001E-2</v>
      </c>
      <c r="AJ122">
        <v>485520</v>
      </c>
      <c r="AK122" s="1">
        <v>2.1938066666666666E-10</v>
      </c>
      <c r="AL122" s="1">
        <v>2.1840033333333336E-10</v>
      </c>
      <c r="AM122">
        <v>2.7779999999999999E-2</v>
      </c>
      <c r="AN122" s="49">
        <f t="shared" si="364"/>
        <v>1.0113296730483474</v>
      </c>
      <c r="AO122">
        <f t="shared" si="365"/>
        <v>2.7779999999999999E-2</v>
      </c>
      <c r="AS122" s="1"/>
      <c r="AT122" s="1"/>
      <c r="AV122" s="49"/>
      <c r="BA122" s="1"/>
      <c r="BB122" s="1"/>
      <c r="BD122" s="49"/>
    </row>
    <row r="123" spans="2:56" x14ac:dyDescent="0.25">
      <c r="B123">
        <v>490510</v>
      </c>
      <c r="C123" s="1">
        <v>1.4670133333333332E-10</v>
      </c>
      <c r="D123" s="1">
        <v>1.4662433333333333E-10</v>
      </c>
      <c r="E123">
        <v>2.8500000000000001E-2</v>
      </c>
      <c r="F123" s="49">
        <f t="shared" si="352"/>
        <v>0.67628298213344518</v>
      </c>
      <c r="G123" s="1">
        <f t="shared" si="360"/>
        <v>0.68628298213344519</v>
      </c>
      <c r="H123">
        <f t="shared" si="359"/>
        <v>2.8500000000000001E-2</v>
      </c>
      <c r="I123">
        <f t="shared" si="361"/>
        <v>3.0000000000000002E-2</v>
      </c>
      <c r="K123">
        <v>490510</v>
      </c>
      <c r="L123" s="1">
        <v>9.4860633333333333E-11</v>
      </c>
      <c r="M123" s="1">
        <v>9.482476666666668E-11</v>
      </c>
      <c r="N123">
        <v>2.4150000000000001E-2</v>
      </c>
      <c r="O123" s="1">
        <f t="shared" si="353"/>
        <v>0.43730094703343281</v>
      </c>
      <c r="P123" s="1">
        <f t="shared" si="362"/>
        <v>0.44730094703343282</v>
      </c>
      <c r="Q123">
        <f t="shared" si="354"/>
        <v>2.4150000000000001E-2</v>
      </c>
      <c r="R123">
        <f t="shared" si="363"/>
        <v>2.4300000000000002E-2</v>
      </c>
      <c r="T123">
        <v>490510</v>
      </c>
      <c r="U123" s="1">
        <v>9.302123333333334E-11</v>
      </c>
      <c r="V123" s="1">
        <v>9.2988500000000007E-11</v>
      </c>
      <c r="W123">
        <v>2.3769999999999999E-2</v>
      </c>
      <c r="X123" s="1">
        <f t="shared" si="355"/>
        <v>0.42882144048041632</v>
      </c>
      <c r="Y123">
        <f t="shared" si="356"/>
        <v>2.3769999999999999E-2</v>
      </c>
      <c r="AB123">
        <v>490510</v>
      </c>
      <c r="AC123" s="1">
        <v>1.4430566666666669E-10</v>
      </c>
      <c r="AD123" s="1">
        <v>1.4422466666666669E-10</v>
      </c>
      <c r="AE123">
        <v>2.759E-2</v>
      </c>
      <c r="AF123" s="49">
        <f t="shared" si="357"/>
        <v>0.66523912478928793</v>
      </c>
      <c r="AG123">
        <f t="shared" si="358"/>
        <v>2.759E-2</v>
      </c>
      <c r="AJ123">
        <v>490510</v>
      </c>
      <c r="AK123" s="1">
        <v>2.1929799999999996E-10</v>
      </c>
      <c r="AL123" s="1">
        <v>2.1831566666666665E-10</v>
      </c>
      <c r="AM123">
        <v>2.7900000000000001E-2</v>
      </c>
      <c r="AN123" s="49">
        <f t="shared" si="364"/>
        <v>1.0109485854427607</v>
      </c>
      <c r="AO123">
        <f t="shared" si="365"/>
        <v>2.7900000000000001E-2</v>
      </c>
      <c r="AS123" s="1"/>
      <c r="AT123" s="1"/>
      <c r="AV123" s="49"/>
      <c r="BA123" s="1"/>
      <c r="BB123" s="1"/>
      <c r="BD123" s="49"/>
    </row>
    <row r="124" spans="2:56" x14ac:dyDescent="0.25">
      <c r="B124">
        <v>495510</v>
      </c>
      <c r="C124" s="1">
        <v>1.4668366666666667E-10</v>
      </c>
      <c r="D124" s="1">
        <v>1.4660600000000002E-10</v>
      </c>
      <c r="E124">
        <v>2.8629999999999999E-2</v>
      </c>
      <c r="F124" s="49">
        <f t="shared" si="352"/>
        <v>0.67620154002418686</v>
      </c>
      <c r="G124" s="1">
        <f t="shared" si="360"/>
        <v>0.68620154002418687</v>
      </c>
      <c r="H124">
        <f t="shared" si="359"/>
        <v>2.8629999999999999E-2</v>
      </c>
      <c r="I124">
        <f t="shared" si="361"/>
        <v>3.0130000000000001E-2</v>
      </c>
      <c r="K124">
        <v>495510</v>
      </c>
      <c r="L124" s="1">
        <v>9.4846666666666682E-11</v>
      </c>
      <c r="M124" s="1">
        <v>9.4810766666666676E-11</v>
      </c>
      <c r="N124">
        <v>2.4240000000000001E-2</v>
      </c>
      <c r="O124" s="1">
        <f t="shared" si="353"/>
        <v>0.43723656166781155</v>
      </c>
      <c r="P124" s="1">
        <f t="shared" si="362"/>
        <v>0.44723656166781156</v>
      </c>
      <c r="Q124">
        <f t="shared" si="354"/>
        <v>2.4240000000000001E-2</v>
      </c>
      <c r="R124">
        <f t="shared" si="363"/>
        <v>2.4390000000000002E-2</v>
      </c>
      <c r="T124">
        <v>495510</v>
      </c>
      <c r="U124" s="1">
        <v>9.3011066666666672E-11</v>
      </c>
      <c r="V124" s="1">
        <v>9.2977966666666667E-11</v>
      </c>
      <c r="W124">
        <v>2.3879999999999998E-2</v>
      </c>
      <c r="X124" s="1">
        <f t="shared" si="355"/>
        <v>0.42877457285150344</v>
      </c>
      <c r="Y124">
        <f t="shared" si="356"/>
        <v>2.3879999999999998E-2</v>
      </c>
      <c r="AB124">
        <v>495510</v>
      </c>
      <c r="AC124" s="1">
        <v>1.4428633333333334E-10</v>
      </c>
      <c r="AD124" s="1">
        <v>1.4420466666666668E-10</v>
      </c>
      <c r="AE124">
        <v>2.7720000000000002E-2</v>
      </c>
      <c r="AF124" s="49">
        <f t="shared" si="357"/>
        <v>0.66514999946217479</v>
      </c>
      <c r="AG124">
        <f t="shared" si="358"/>
        <v>2.7720000000000002E-2</v>
      </c>
      <c r="AJ124">
        <v>495510</v>
      </c>
      <c r="AK124" s="1">
        <v>2.1919466666666664E-10</v>
      </c>
      <c r="AL124" s="1">
        <v>2.1821000000000001E-10</v>
      </c>
      <c r="AM124">
        <v>2.801E-2</v>
      </c>
      <c r="AN124" s="49">
        <f t="shared" si="364"/>
        <v>1.0104722259357775</v>
      </c>
      <c r="AO124">
        <f t="shared" si="365"/>
        <v>2.801E-2</v>
      </c>
      <c r="AS124" s="1"/>
      <c r="AT124" s="1"/>
      <c r="AV124" s="49"/>
      <c r="BA124" s="1"/>
      <c r="BB124" s="1"/>
      <c r="BD124" s="49"/>
    </row>
    <row r="125" spans="2:56" x14ac:dyDescent="0.25">
      <c r="B125">
        <v>500500</v>
      </c>
      <c r="C125" s="1">
        <v>1.4668233333333334E-10</v>
      </c>
      <c r="D125" s="1">
        <v>1.46604E-10</v>
      </c>
      <c r="E125">
        <v>2.878E-2</v>
      </c>
      <c r="F125" s="49">
        <f t="shared" si="352"/>
        <v>0.6761953934499032</v>
      </c>
      <c r="G125" s="1">
        <f t="shared" si="360"/>
        <v>0.68619539344990321</v>
      </c>
      <c r="H125">
        <f t="shared" si="359"/>
        <v>2.878E-2</v>
      </c>
      <c r="I125">
        <f t="shared" si="361"/>
        <v>3.0280000000000001E-2</v>
      </c>
      <c r="K125">
        <v>500500</v>
      </c>
      <c r="L125" s="1">
        <v>9.4836266666666675E-11</v>
      </c>
      <c r="M125" s="1">
        <v>9.4800000000000011E-11</v>
      </c>
      <c r="N125">
        <v>2.436E-2</v>
      </c>
      <c r="O125" s="1">
        <f t="shared" si="353"/>
        <v>0.43718861838839901</v>
      </c>
      <c r="P125" s="1">
        <f t="shared" si="362"/>
        <v>0.44718861838839902</v>
      </c>
      <c r="Q125">
        <f t="shared" si="354"/>
        <v>2.436E-2</v>
      </c>
      <c r="R125">
        <f t="shared" si="363"/>
        <v>2.4510000000000001E-2</v>
      </c>
      <c r="T125">
        <v>500500</v>
      </c>
      <c r="U125" s="1">
        <v>9.3008299999999998E-11</v>
      </c>
      <c r="V125" s="1">
        <v>9.2974833333333335E-11</v>
      </c>
      <c r="W125">
        <v>2.4E-2</v>
      </c>
      <c r="X125" s="1">
        <f t="shared" si="355"/>
        <v>0.42876181870986485</v>
      </c>
      <c r="Y125">
        <f t="shared" si="356"/>
        <v>2.4E-2</v>
      </c>
      <c r="AB125">
        <v>500500</v>
      </c>
      <c r="AC125" s="1">
        <v>1.4428133333333335E-10</v>
      </c>
      <c r="AD125" s="1">
        <v>1.4419866666666668E-10</v>
      </c>
      <c r="AE125">
        <v>2.784E-2</v>
      </c>
      <c r="AF125" s="49">
        <f t="shared" si="357"/>
        <v>0.6651269498086112</v>
      </c>
      <c r="AG125">
        <f t="shared" si="358"/>
        <v>2.784E-2</v>
      </c>
      <c r="AJ125">
        <v>500500</v>
      </c>
      <c r="AK125" s="1">
        <v>2.1911466666666668E-10</v>
      </c>
      <c r="AL125" s="1">
        <v>2.1812766666666666E-10</v>
      </c>
      <c r="AM125">
        <v>2.8139999999999998E-2</v>
      </c>
      <c r="AN125" s="49">
        <f t="shared" si="364"/>
        <v>1.0101034314787583</v>
      </c>
      <c r="AO125">
        <f t="shared" si="365"/>
        <v>2.8139999999999998E-2</v>
      </c>
      <c r="AS125" s="1"/>
      <c r="AT125" s="1"/>
      <c r="AV125" s="49"/>
      <c r="BA125" s="1"/>
      <c r="BB125" s="1"/>
      <c r="BD125" s="49"/>
    </row>
    <row r="126" spans="2:56" x14ac:dyDescent="0.25">
      <c r="B126">
        <v>505500</v>
      </c>
      <c r="C126" s="1">
        <v>1.4666899999999999E-10</v>
      </c>
      <c r="D126" s="1">
        <v>1.4658933333333334E-10</v>
      </c>
      <c r="E126">
        <v>2.8920000000000001E-2</v>
      </c>
      <c r="F126" s="49">
        <f t="shared" si="352"/>
        <v>0.6761339277070666</v>
      </c>
      <c r="G126" s="1">
        <f t="shared" si="360"/>
        <v>0.6861339277070666</v>
      </c>
      <c r="H126">
        <f t="shared" si="359"/>
        <v>2.8920000000000001E-2</v>
      </c>
      <c r="I126">
        <f t="shared" si="361"/>
        <v>3.0420000000000003E-2</v>
      </c>
      <c r="K126">
        <v>505500</v>
      </c>
      <c r="L126" s="1">
        <v>9.4826533333333333E-11</v>
      </c>
      <c r="M126" s="1">
        <v>9.4790166666666663E-11</v>
      </c>
      <c r="N126">
        <v>2.4459999999999999E-2</v>
      </c>
      <c r="O126" s="1">
        <f t="shared" si="353"/>
        <v>0.43714374839612835</v>
      </c>
      <c r="P126" s="1">
        <f t="shared" si="362"/>
        <v>0.44714374839612836</v>
      </c>
      <c r="Q126">
        <f t="shared" si="354"/>
        <v>2.4459999999999999E-2</v>
      </c>
      <c r="R126">
        <f t="shared" si="363"/>
        <v>2.461E-2</v>
      </c>
      <c r="T126">
        <v>505500</v>
      </c>
      <c r="U126" s="1">
        <v>9.2998399999999996E-11</v>
      </c>
      <c r="V126" s="1">
        <v>9.2964666666666667E-11</v>
      </c>
      <c r="W126">
        <v>2.4109999999999999E-2</v>
      </c>
      <c r="X126" s="1">
        <f t="shared" si="355"/>
        <v>0.42871618039580867</v>
      </c>
      <c r="Y126">
        <f t="shared" si="356"/>
        <v>2.4109999999999999E-2</v>
      </c>
      <c r="AB126">
        <v>505500</v>
      </c>
      <c r="AC126" s="1">
        <v>1.4426533333333331E-10</v>
      </c>
      <c r="AD126" s="1">
        <v>1.4418166666666666E-10</v>
      </c>
      <c r="AE126">
        <v>2.7959999999999999E-2</v>
      </c>
      <c r="AF126" s="49">
        <f t="shared" si="357"/>
        <v>0.66505319091720716</v>
      </c>
      <c r="AG126">
        <f t="shared" si="358"/>
        <v>2.7959999999999999E-2</v>
      </c>
      <c r="AJ126">
        <v>505500</v>
      </c>
      <c r="AK126" s="1">
        <v>2.19028E-10</v>
      </c>
      <c r="AL126" s="1">
        <v>2.1803933333333334E-10</v>
      </c>
      <c r="AM126">
        <v>2.8250000000000001E-2</v>
      </c>
      <c r="AN126" s="49">
        <f t="shared" si="364"/>
        <v>1.0097039041503206</v>
      </c>
      <c r="AO126">
        <f t="shared" si="365"/>
        <v>2.8250000000000001E-2</v>
      </c>
      <c r="AS126" s="1"/>
      <c r="AT126" s="1"/>
      <c r="AV126" s="49"/>
      <c r="BA126" s="1"/>
      <c r="BB126" s="1"/>
      <c r="BD126" s="49"/>
    </row>
    <row r="127" spans="2:56" x14ac:dyDescent="0.25">
      <c r="B127">
        <v>510490</v>
      </c>
      <c r="C127" s="1">
        <v>1.4665033333333332E-10</v>
      </c>
      <c r="D127" s="1">
        <v>1.4657066666666668E-10</v>
      </c>
      <c r="E127">
        <v>2.9049999999999999E-2</v>
      </c>
      <c r="F127" s="49">
        <f t="shared" si="352"/>
        <v>0.67604787566709534</v>
      </c>
      <c r="G127" s="1">
        <f t="shared" si="360"/>
        <v>0.68604787566709535</v>
      </c>
      <c r="H127">
        <f t="shared" si="359"/>
        <v>2.9049999999999999E-2</v>
      </c>
      <c r="I127">
        <f t="shared" si="361"/>
        <v>3.0550000000000001E-2</v>
      </c>
      <c r="K127">
        <v>510490</v>
      </c>
      <c r="L127" s="1">
        <v>9.4819866666666669E-11</v>
      </c>
      <c r="M127" s="1">
        <v>9.4782766666666682E-11</v>
      </c>
      <c r="N127">
        <v>2.4570000000000002E-2</v>
      </c>
      <c r="O127" s="1">
        <f t="shared" si="353"/>
        <v>0.43711301552471005</v>
      </c>
      <c r="P127" s="1">
        <f t="shared" si="362"/>
        <v>0.44711301552471006</v>
      </c>
      <c r="Q127">
        <f t="shared" si="354"/>
        <v>2.4570000000000002E-2</v>
      </c>
      <c r="R127">
        <f t="shared" si="363"/>
        <v>2.4720000000000002E-2</v>
      </c>
      <c r="T127">
        <v>510490</v>
      </c>
      <c r="U127" s="1">
        <v>9.2988099999999983E-11</v>
      </c>
      <c r="V127" s="1">
        <v>9.2954066666666661E-11</v>
      </c>
      <c r="W127">
        <v>2.4199999999999999E-2</v>
      </c>
      <c r="X127" s="1">
        <f t="shared" si="355"/>
        <v>0.42866869810946734</v>
      </c>
      <c r="Y127">
        <f t="shared" si="356"/>
        <v>2.4199999999999999E-2</v>
      </c>
      <c r="AB127">
        <v>510490</v>
      </c>
      <c r="AC127" s="1">
        <v>1.4424699999999999E-10</v>
      </c>
      <c r="AD127" s="1">
        <v>1.4416333333333334E-10</v>
      </c>
      <c r="AE127">
        <v>2.809E-2</v>
      </c>
      <c r="AF127" s="49">
        <f t="shared" si="357"/>
        <v>0.66496867552080696</v>
      </c>
      <c r="AG127">
        <f t="shared" si="358"/>
        <v>2.809E-2</v>
      </c>
      <c r="AJ127">
        <v>510490</v>
      </c>
      <c r="AK127" s="1">
        <v>2.1894766666666667E-10</v>
      </c>
      <c r="AL127" s="1">
        <v>2.1795566666666666E-10</v>
      </c>
      <c r="AM127">
        <v>2.836E-2</v>
      </c>
      <c r="AN127" s="49">
        <f t="shared" si="364"/>
        <v>1.0093335730497306</v>
      </c>
      <c r="AO127">
        <f t="shared" si="365"/>
        <v>2.836E-2</v>
      </c>
      <c r="AS127" s="1"/>
      <c r="AT127" s="1"/>
      <c r="AV127" s="49"/>
      <c r="BA127" s="1"/>
      <c r="BB127" s="1"/>
      <c r="BD127" s="49"/>
    </row>
    <row r="128" spans="2:56" x14ac:dyDescent="0.25">
      <c r="B128">
        <v>515490</v>
      </c>
      <c r="C128" s="1">
        <v>1.4663866666666667E-10</v>
      </c>
      <c r="D128" s="1">
        <v>1.4655800000000002E-10</v>
      </c>
      <c r="E128">
        <v>2.9180000000000001E-2</v>
      </c>
      <c r="F128" s="49">
        <f t="shared" si="352"/>
        <v>0.67599409314211345</v>
      </c>
      <c r="G128" s="1">
        <f t="shared" si="360"/>
        <v>0.68599409314211346</v>
      </c>
      <c r="H128">
        <f t="shared" si="359"/>
        <v>2.9180000000000001E-2</v>
      </c>
      <c r="I128">
        <f t="shared" si="361"/>
        <v>3.0680000000000002E-2</v>
      </c>
      <c r="K128">
        <v>515490</v>
      </c>
      <c r="L128" s="1">
        <v>9.4803500000000003E-11</v>
      </c>
      <c r="M128" s="1">
        <v>9.4766366666666675E-11</v>
      </c>
      <c r="N128">
        <v>2.4670000000000001E-2</v>
      </c>
      <c r="O128" s="1">
        <f t="shared" si="353"/>
        <v>0.43703756632537816</v>
      </c>
      <c r="P128" s="1">
        <f t="shared" si="362"/>
        <v>0.44703756632537817</v>
      </c>
      <c r="Q128">
        <f t="shared" si="354"/>
        <v>2.4670000000000001E-2</v>
      </c>
      <c r="R128">
        <f t="shared" si="363"/>
        <v>2.4820000000000002E-2</v>
      </c>
      <c r="T128">
        <v>515490</v>
      </c>
      <c r="U128" s="1">
        <v>9.2977599999999996E-11</v>
      </c>
      <c r="V128" s="1">
        <v>9.294326666666667E-11</v>
      </c>
      <c r="W128">
        <v>2.4309999999999998E-2</v>
      </c>
      <c r="X128" s="1">
        <f t="shared" si="355"/>
        <v>0.42862029383698363</v>
      </c>
      <c r="Y128">
        <f t="shared" si="356"/>
        <v>2.4309999999999998E-2</v>
      </c>
      <c r="AB128">
        <v>515490</v>
      </c>
      <c r="AC128" s="1">
        <v>1.4423033333333332E-10</v>
      </c>
      <c r="AD128" s="1">
        <v>1.4414566666666666E-10</v>
      </c>
      <c r="AE128">
        <v>2.8199999999999999E-2</v>
      </c>
      <c r="AF128" s="49">
        <f t="shared" si="357"/>
        <v>0.66489184334226115</v>
      </c>
      <c r="AG128">
        <f t="shared" si="358"/>
        <v>2.8199999999999999E-2</v>
      </c>
      <c r="AJ128">
        <v>515490</v>
      </c>
      <c r="AK128" s="1">
        <v>2.1886833333333332E-10</v>
      </c>
      <c r="AL128" s="1">
        <v>2.1787433333333332E-10</v>
      </c>
      <c r="AM128">
        <v>2.8469999999999999E-2</v>
      </c>
      <c r="AN128" s="49">
        <f t="shared" si="364"/>
        <v>1.0089678518798531</v>
      </c>
      <c r="AO128">
        <f t="shared" si="365"/>
        <v>2.8469999999999999E-2</v>
      </c>
      <c r="AS128" s="1"/>
      <c r="AT128" s="1"/>
      <c r="AV128" s="49"/>
      <c r="BA128" s="1"/>
      <c r="BB128" s="1"/>
      <c r="BD128" s="49"/>
    </row>
    <row r="129" spans="2:56" x14ac:dyDescent="0.25">
      <c r="B129">
        <v>520480</v>
      </c>
      <c r="C129" s="1">
        <v>1.4662366666666667E-10</v>
      </c>
      <c r="D129" s="1">
        <v>1.4654233333333335E-10</v>
      </c>
      <c r="E129">
        <v>2.9309999999999999E-2</v>
      </c>
      <c r="F129" s="49">
        <f t="shared" si="352"/>
        <v>0.67592494418142224</v>
      </c>
      <c r="G129" s="1">
        <f t="shared" si="360"/>
        <v>0.68592494418142225</v>
      </c>
      <c r="H129">
        <f t="shared" si="359"/>
        <v>2.9309999999999999E-2</v>
      </c>
      <c r="I129">
        <f t="shared" si="361"/>
        <v>3.0810000000000001E-2</v>
      </c>
      <c r="K129">
        <v>520480</v>
      </c>
      <c r="L129" s="1">
        <v>9.4771766666666665E-11</v>
      </c>
      <c r="M129" s="1">
        <v>9.4734266666666653E-11</v>
      </c>
      <c r="N129">
        <v>2.477E-2</v>
      </c>
      <c r="O129" s="1">
        <f t="shared" si="353"/>
        <v>0.43689127785742721</v>
      </c>
      <c r="P129" s="1">
        <f t="shared" si="362"/>
        <v>0.44689127785742722</v>
      </c>
      <c r="Q129">
        <f t="shared" si="354"/>
        <v>2.477E-2</v>
      </c>
      <c r="R129">
        <f t="shared" si="363"/>
        <v>2.4920000000000001E-2</v>
      </c>
      <c r="T129">
        <v>520480</v>
      </c>
      <c r="U129" s="1">
        <v>9.2967933333333332E-11</v>
      </c>
      <c r="V129" s="1">
        <v>9.2933299999999988E-11</v>
      </c>
      <c r="W129">
        <v>2.4410000000000001E-2</v>
      </c>
      <c r="X129" s="1">
        <f t="shared" si="355"/>
        <v>0.42857573117342712</v>
      </c>
      <c r="Y129">
        <f t="shared" si="356"/>
        <v>2.4410000000000001E-2</v>
      </c>
      <c r="AB129">
        <v>520480</v>
      </c>
      <c r="AC129" s="1">
        <v>1.4421399999999999E-10</v>
      </c>
      <c r="AD129" s="1">
        <v>1.4412866666666667E-10</v>
      </c>
      <c r="AE129">
        <v>2.8309999999999998E-2</v>
      </c>
      <c r="AF129" s="49">
        <f t="shared" si="357"/>
        <v>0.6648165478072865</v>
      </c>
      <c r="AG129">
        <f t="shared" si="358"/>
        <v>2.8309999999999998E-2</v>
      </c>
      <c r="AJ129">
        <v>520480</v>
      </c>
      <c r="AK129" s="1">
        <v>2.1879366666666669E-10</v>
      </c>
      <c r="AL129" s="1">
        <v>2.1779766666666665E-10</v>
      </c>
      <c r="AM129">
        <v>2.8580000000000001E-2</v>
      </c>
      <c r="AN129" s="49">
        <f t="shared" si="364"/>
        <v>1.0086236437199685</v>
      </c>
      <c r="AO129">
        <f t="shared" si="365"/>
        <v>2.8580000000000001E-2</v>
      </c>
      <c r="AS129" s="1"/>
      <c r="AT129" s="1"/>
      <c r="AV129" s="49"/>
      <c r="BA129" s="1"/>
      <c r="BB129" s="1"/>
      <c r="BD129" s="49"/>
    </row>
    <row r="130" spans="2:56" x14ac:dyDescent="0.25">
      <c r="B130">
        <v>525480</v>
      </c>
      <c r="C130" s="1">
        <v>1.4660866666666667E-10</v>
      </c>
      <c r="D130" s="1">
        <v>1.4652633333333332E-10</v>
      </c>
      <c r="E130">
        <v>2.9420000000000002E-2</v>
      </c>
      <c r="F130" s="49">
        <f t="shared" si="352"/>
        <v>0.67585579522073125</v>
      </c>
      <c r="G130" s="1">
        <f t="shared" si="360"/>
        <v>0.68585579522073126</v>
      </c>
      <c r="H130">
        <f t="shared" si="359"/>
        <v>2.9420000000000002E-2</v>
      </c>
      <c r="I130">
        <f t="shared" si="361"/>
        <v>3.0920000000000003E-2</v>
      </c>
      <c r="K130">
        <v>525480</v>
      </c>
      <c r="L130" s="1">
        <v>9.4770499999999991E-11</v>
      </c>
      <c r="M130" s="1">
        <v>9.4732266666666675E-11</v>
      </c>
      <c r="N130">
        <v>2.486E-2</v>
      </c>
      <c r="O130" s="1">
        <f t="shared" si="353"/>
        <v>0.43688543861185769</v>
      </c>
      <c r="P130" s="1">
        <f t="shared" si="362"/>
        <v>0.4468854386118577</v>
      </c>
      <c r="Q130">
        <f t="shared" si="354"/>
        <v>2.486E-2</v>
      </c>
      <c r="R130">
        <f t="shared" si="363"/>
        <v>2.5010000000000001E-2</v>
      </c>
      <c r="T130">
        <v>525480</v>
      </c>
      <c r="U130" s="1">
        <v>9.2958599999999988E-11</v>
      </c>
      <c r="V130" s="1">
        <v>9.2923733333333344E-11</v>
      </c>
      <c r="W130">
        <v>2.452E-2</v>
      </c>
      <c r="X130" s="1">
        <f t="shared" si="355"/>
        <v>0.4285327051534415</v>
      </c>
      <c r="Y130">
        <f t="shared" si="356"/>
        <v>2.452E-2</v>
      </c>
      <c r="AB130">
        <v>525480</v>
      </c>
      <c r="AC130" s="1">
        <v>1.4419833333333333E-10</v>
      </c>
      <c r="AD130" s="1">
        <v>1.4411233333333334E-10</v>
      </c>
      <c r="AE130">
        <v>2.844E-2</v>
      </c>
      <c r="AF130" s="49">
        <f t="shared" si="357"/>
        <v>0.66474432555945351</v>
      </c>
      <c r="AG130">
        <f t="shared" si="358"/>
        <v>2.844E-2</v>
      </c>
      <c r="AJ130">
        <v>525480</v>
      </c>
      <c r="AK130" s="1">
        <v>2.1870533333333331E-10</v>
      </c>
      <c r="AL130" s="1">
        <v>2.1770733333333331E-10</v>
      </c>
      <c r="AM130">
        <v>2.87E-2</v>
      </c>
      <c r="AN130" s="49">
        <f t="shared" si="364"/>
        <v>1.008216433173676</v>
      </c>
      <c r="AO130">
        <f t="shared" si="365"/>
        <v>2.87E-2</v>
      </c>
      <c r="AS130" s="1"/>
      <c r="AT130" s="1"/>
      <c r="AV130" s="49"/>
      <c r="BA130" s="1"/>
      <c r="BB130" s="1"/>
      <c r="BD130" s="49"/>
    </row>
    <row r="131" spans="2:56" x14ac:dyDescent="0.25">
      <c r="B131">
        <v>530470</v>
      </c>
      <c r="C131" s="1">
        <v>1.4659400000000002E-10</v>
      </c>
      <c r="D131" s="1">
        <v>1.4651133333333335E-10</v>
      </c>
      <c r="E131">
        <v>2.9559999999999999E-2</v>
      </c>
      <c r="F131" s="49">
        <f t="shared" si="352"/>
        <v>0.67578818290361109</v>
      </c>
      <c r="G131" s="1">
        <f t="shared" si="360"/>
        <v>0.6857881829036111</v>
      </c>
      <c r="H131">
        <f t="shared" si="359"/>
        <v>2.9559999999999999E-2</v>
      </c>
      <c r="I131">
        <f t="shared" si="361"/>
        <v>3.1060000000000001E-2</v>
      </c>
      <c r="K131">
        <v>530470</v>
      </c>
      <c r="L131" s="1">
        <v>9.4776066666666666E-11</v>
      </c>
      <c r="M131" s="1">
        <v>9.4737766666666671E-11</v>
      </c>
      <c r="N131">
        <v>2.496E-2</v>
      </c>
      <c r="O131" s="1">
        <f t="shared" si="353"/>
        <v>0.436911100559492</v>
      </c>
      <c r="P131" s="1">
        <f t="shared" si="362"/>
        <v>0.44691110055949201</v>
      </c>
      <c r="Q131">
        <f t="shared" si="354"/>
        <v>2.496E-2</v>
      </c>
      <c r="R131">
        <f t="shared" si="363"/>
        <v>2.511E-2</v>
      </c>
      <c r="T131">
        <v>530470</v>
      </c>
      <c r="U131" s="1">
        <v>9.2948399999999994E-11</v>
      </c>
      <c r="V131" s="1">
        <v>9.2913233333333344E-11</v>
      </c>
      <c r="W131">
        <v>2.46E-2</v>
      </c>
      <c r="X131" s="1">
        <f t="shared" si="355"/>
        <v>0.42848568386017161</v>
      </c>
      <c r="Y131">
        <f t="shared" si="356"/>
        <v>2.46E-2</v>
      </c>
      <c r="AB131">
        <v>530470</v>
      </c>
      <c r="AC131" s="1">
        <v>1.4418133333333331E-10</v>
      </c>
      <c r="AD131" s="1">
        <v>1.4409499999999998E-10</v>
      </c>
      <c r="AE131">
        <v>2.8559999999999999E-2</v>
      </c>
      <c r="AF131" s="49">
        <f t="shared" si="357"/>
        <v>0.66466595673733675</v>
      </c>
      <c r="AG131">
        <f t="shared" si="358"/>
        <v>2.8559999999999999E-2</v>
      </c>
      <c r="AJ131">
        <v>530470</v>
      </c>
      <c r="AK131" s="1">
        <v>2.1861599999999998E-10</v>
      </c>
      <c r="AL131" s="1">
        <v>2.1761566666666669E-10</v>
      </c>
      <c r="AM131">
        <v>2.8809999999999999E-2</v>
      </c>
      <c r="AN131" s="49">
        <f t="shared" si="364"/>
        <v>1.0078046126966711</v>
      </c>
      <c r="AO131">
        <f t="shared" si="365"/>
        <v>2.8809999999999999E-2</v>
      </c>
      <c r="AS131" s="1"/>
      <c r="AT131" s="1"/>
      <c r="AV131" s="49"/>
      <c r="BA131" s="1"/>
      <c r="BB131" s="1"/>
      <c r="BD131" s="49"/>
    </row>
    <row r="132" spans="2:56" x14ac:dyDescent="0.25">
      <c r="B132">
        <v>535470</v>
      </c>
      <c r="C132" s="1">
        <v>1.4658066666666666E-10</v>
      </c>
      <c r="D132" s="1">
        <v>1.4649700000000001E-10</v>
      </c>
      <c r="E132">
        <v>2.9680000000000002E-2</v>
      </c>
      <c r="F132" s="49">
        <f t="shared" si="352"/>
        <v>0.67572671716077448</v>
      </c>
      <c r="G132" s="1">
        <f t="shared" si="360"/>
        <v>0.68572671716077449</v>
      </c>
      <c r="H132">
        <f t="shared" si="359"/>
        <v>2.9680000000000002E-2</v>
      </c>
      <c r="I132">
        <f t="shared" si="361"/>
        <v>3.1180000000000003E-2</v>
      </c>
      <c r="K132">
        <v>535470</v>
      </c>
      <c r="L132" s="1">
        <v>9.4764999999999995E-11</v>
      </c>
      <c r="M132" s="1">
        <v>9.4726333333333329E-11</v>
      </c>
      <c r="N132">
        <v>2.5049999999999999E-2</v>
      </c>
      <c r="O132" s="1">
        <f t="shared" si="353"/>
        <v>0.43686008399293758</v>
      </c>
      <c r="P132" s="1">
        <f t="shared" si="362"/>
        <v>0.44686008399293758</v>
      </c>
      <c r="Q132">
        <f t="shared" si="354"/>
        <v>2.5049999999999999E-2</v>
      </c>
      <c r="R132">
        <f t="shared" si="363"/>
        <v>2.52E-2</v>
      </c>
      <c r="T132">
        <v>535470</v>
      </c>
      <c r="U132" s="1">
        <v>9.2938566666666671E-11</v>
      </c>
      <c r="V132" s="1">
        <v>9.290313333333333E-11</v>
      </c>
      <c r="W132">
        <v>2.4709999999999999E-2</v>
      </c>
      <c r="X132" s="1">
        <f t="shared" si="355"/>
        <v>0.42844035287482962</v>
      </c>
      <c r="Y132">
        <f t="shared" si="356"/>
        <v>2.4709999999999999E-2</v>
      </c>
      <c r="AB132">
        <v>535470</v>
      </c>
      <c r="AC132" s="1">
        <v>1.44164E-10</v>
      </c>
      <c r="AD132" s="1">
        <v>1.4407633333333334E-10</v>
      </c>
      <c r="AE132">
        <v>2.8670000000000001E-2</v>
      </c>
      <c r="AF132" s="49">
        <f t="shared" si="357"/>
        <v>0.66458605127164938</v>
      </c>
      <c r="AG132">
        <f t="shared" si="358"/>
        <v>2.8670000000000001E-2</v>
      </c>
      <c r="AJ132">
        <v>535470</v>
      </c>
      <c r="AK132" s="1">
        <v>2.1853166666666669E-10</v>
      </c>
      <c r="AL132" s="1">
        <v>2.1752933333333333E-10</v>
      </c>
      <c r="AM132">
        <v>2.8910000000000002E-2</v>
      </c>
      <c r="AN132" s="49">
        <f t="shared" si="364"/>
        <v>1.0074158418732302</v>
      </c>
      <c r="AO132">
        <f t="shared" si="365"/>
        <v>2.8910000000000002E-2</v>
      </c>
      <c r="AS132" s="1"/>
      <c r="AT132" s="1"/>
      <c r="AV132" s="49"/>
      <c r="BA132" s="1"/>
      <c r="BB132" s="1"/>
      <c r="BD132" s="49"/>
    </row>
    <row r="133" spans="2:56" x14ac:dyDescent="0.25">
      <c r="B133">
        <v>540460</v>
      </c>
      <c r="C133" s="1">
        <v>1.4656699999999999E-10</v>
      </c>
      <c r="D133" s="1">
        <v>1.4648266666666668E-10</v>
      </c>
      <c r="E133">
        <v>2.98E-2</v>
      </c>
      <c r="F133" s="49">
        <f t="shared" si="352"/>
        <v>0.67566371477436704</v>
      </c>
      <c r="G133" s="1">
        <f t="shared" si="360"/>
        <v>0.68566371477436705</v>
      </c>
      <c r="H133">
        <f t="shared" si="359"/>
        <v>2.98E-2</v>
      </c>
      <c r="I133">
        <f t="shared" si="361"/>
        <v>3.1300000000000001E-2</v>
      </c>
      <c r="K133">
        <v>540460</v>
      </c>
      <c r="L133" s="1">
        <v>9.4739533333333336E-11</v>
      </c>
      <c r="M133" s="1">
        <v>9.470083333333333E-11</v>
      </c>
      <c r="N133">
        <v>2.513E-2</v>
      </c>
      <c r="O133" s="1">
        <f t="shared" si="353"/>
        <v>0.43674268442411984</v>
      </c>
      <c r="P133" s="1">
        <f t="shared" si="362"/>
        <v>0.44674268442411985</v>
      </c>
      <c r="Q133">
        <f t="shared" si="354"/>
        <v>2.513E-2</v>
      </c>
      <c r="R133">
        <f t="shared" si="363"/>
        <v>2.528E-2</v>
      </c>
      <c r="T133">
        <v>540460</v>
      </c>
      <c r="U133" s="1">
        <v>9.2928866666666655E-11</v>
      </c>
      <c r="V133" s="1">
        <v>9.2893200000000001E-11</v>
      </c>
      <c r="W133">
        <v>2.4799999999999999E-2</v>
      </c>
      <c r="X133" s="1">
        <f t="shared" si="355"/>
        <v>0.42839563654691604</v>
      </c>
      <c r="Y133">
        <f t="shared" si="356"/>
        <v>2.4799999999999999E-2</v>
      </c>
      <c r="AB133">
        <v>540460</v>
      </c>
      <c r="AC133" s="1">
        <v>1.4414766666666665E-10</v>
      </c>
      <c r="AD133" s="1">
        <v>1.4405999999999999E-10</v>
      </c>
      <c r="AE133">
        <v>2.878E-2</v>
      </c>
      <c r="AF133" s="49">
        <f t="shared" si="357"/>
        <v>0.66451075573667462</v>
      </c>
      <c r="AG133">
        <f t="shared" si="358"/>
        <v>2.878E-2</v>
      </c>
      <c r="AJ133">
        <v>540460</v>
      </c>
      <c r="AK133" s="1">
        <v>2.1844866666666665E-10</v>
      </c>
      <c r="AL133" s="1">
        <v>2.1744433333333333E-10</v>
      </c>
      <c r="AM133">
        <v>2.9020000000000001E-2</v>
      </c>
      <c r="AN133" s="49">
        <f t="shared" si="364"/>
        <v>1.0070332176240724</v>
      </c>
      <c r="AO133">
        <f t="shared" si="365"/>
        <v>2.9020000000000001E-2</v>
      </c>
      <c r="AS133" s="1"/>
      <c r="AT133" s="1"/>
      <c r="AV133" s="49"/>
      <c r="BA133" s="1"/>
      <c r="BB133" s="1"/>
      <c r="BD133" s="49"/>
    </row>
    <row r="134" spans="2:56" x14ac:dyDescent="0.25">
      <c r="B134">
        <v>545460</v>
      </c>
      <c r="C134" s="1">
        <v>1.4655099999999998E-10</v>
      </c>
      <c r="D134" s="1">
        <v>1.4646666666666667E-10</v>
      </c>
      <c r="E134">
        <v>2.9919999999999999E-2</v>
      </c>
      <c r="F134" s="49">
        <f t="shared" si="352"/>
        <v>0.675589955882963</v>
      </c>
      <c r="G134" s="1">
        <f t="shared" si="360"/>
        <v>0.68558995588296301</v>
      </c>
      <c r="H134">
        <f t="shared" si="359"/>
        <v>2.9919999999999999E-2</v>
      </c>
      <c r="I134">
        <f t="shared" si="361"/>
        <v>3.1419999999999997E-2</v>
      </c>
      <c r="K134">
        <v>545460</v>
      </c>
      <c r="L134" s="1">
        <v>9.472896666666667E-11</v>
      </c>
      <c r="M134" s="1">
        <v>9.4689899999999992E-11</v>
      </c>
      <c r="N134">
        <v>2.5239999999999999E-2</v>
      </c>
      <c r="O134" s="1">
        <f t="shared" si="353"/>
        <v>0.43669397282292183</v>
      </c>
      <c r="P134" s="1">
        <f t="shared" si="362"/>
        <v>0.44669397282292184</v>
      </c>
      <c r="Q134">
        <f t="shared" si="354"/>
        <v>2.5239999999999999E-2</v>
      </c>
      <c r="R134">
        <f t="shared" si="363"/>
        <v>2.5389999999999999E-2</v>
      </c>
      <c r="T134">
        <v>545460</v>
      </c>
      <c r="U134" s="1">
        <v>9.2918500000000001E-11</v>
      </c>
      <c r="V134" s="1">
        <v>9.2882533333333342E-11</v>
      </c>
      <c r="W134">
        <v>2.4910000000000002E-2</v>
      </c>
      <c r="X134" s="1">
        <f t="shared" si="355"/>
        <v>0.42834784693186062</v>
      </c>
      <c r="Y134">
        <f t="shared" si="356"/>
        <v>2.4910000000000002E-2</v>
      </c>
      <c r="AB134">
        <v>545460</v>
      </c>
      <c r="AC134" s="1">
        <v>1.4412933333333333E-10</v>
      </c>
      <c r="AD134" s="1">
        <v>1.4404099999999998E-10</v>
      </c>
      <c r="AE134">
        <v>2.8899999999999999E-2</v>
      </c>
      <c r="AF134" s="49">
        <f t="shared" si="357"/>
        <v>0.66442624034027431</v>
      </c>
      <c r="AG134">
        <f t="shared" si="358"/>
        <v>2.8899999999999999E-2</v>
      </c>
      <c r="AJ134">
        <v>545460</v>
      </c>
      <c r="AK134" s="1">
        <v>2.1844566666666668E-10</v>
      </c>
      <c r="AL134" s="1">
        <v>2.1743866666666667E-10</v>
      </c>
      <c r="AM134">
        <v>2.912E-2</v>
      </c>
      <c r="AN134" s="49">
        <f t="shared" si="364"/>
        <v>1.0070193878319345</v>
      </c>
      <c r="AO134">
        <f t="shared" si="365"/>
        <v>2.912E-2</v>
      </c>
      <c r="AS134" s="1"/>
      <c r="AT134" s="1"/>
      <c r="AV134" s="49"/>
      <c r="BA134" s="1"/>
      <c r="BB134" s="1"/>
      <c r="BD134" s="49"/>
    </row>
    <row r="135" spans="2:56" x14ac:dyDescent="0.25">
      <c r="B135">
        <v>550450</v>
      </c>
      <c r="C135" s="1">
        <v>1.4653666666666667E-10</v>
      </c>
      <c r="D135" s="1">
        <v>1.4645133333333332E-10</v>
      </c>
      <c r="E135">
        <v>3.005E-2</v>
      </c>
      <c r="F135" s="49">
        <f t="shared" si="352"/>
        <v>0.6755238802094139</v>
      </c>
      <c r="G135" s="1">
        <f t="shared" si="360"/>
        <v>0.68552388020941391</v>
      </c>
      <c r="H135">
        <f t="shared" si="359"/>
        <v>3.005E-2</v>
      </c>
      <c r="I135">
        <f t="shared" si="361"/>
        <v>3.1550000000000002E-2</v>
      </c>
      <c r="K135">
        <v>550450</v>
      </c>
      <c r="L135" s="1">
        <v>9.4726633333333334E-11</v>
      </c>
      <c r="M135" s="1">
        <v>9.4687166666666671E-11</v>
      </c>
      <c r="N135">
        <v>2.5329999999999998E-2</v>
      </c>
      <c r="O135" s="1">
        <f t="shared" si="353"/>
        <v>0.43668321631792545</v>
      </c>
      <c r="P135" s="1">
        <f t="shared" si="362"/>
        <v>0.44668321631792546</v>
      </c>
      <c r="Q135">
        <f t="shared" si="354"/>
        <v>2.5329999999999998E-2</v>
      </c>
      <c r="R135">
        <f t="shared" si="363"/>
        <v>2.5479999999999999E-2</v>
      </c>
      <c r="T135">
        <v>550450</v>
      </c>
      <c r="U135" s="1">
        <v>9.2909400000000008E-11</v>
      </c>
      <c r="V135" s="1">
        <v>9.2873133333333331E-11</v>
      </c>
      <c r="W135">
        <v>2.5000000000000001E-2</v>
      </c>
      <c r="X135" s="1">
        <f t="shared" si="355"/>
        <v>0.42830589656237478</v>
      </c>
      <c r="Y135">
        <f t="shared" si="356"/>
        <v>2.5000000000000001E-2</v>
      </c>
      <c r="AB135">
        <v>550450</v>
      </c>
      <c r="AC135" s="1">
        <v>1.4411300000000001E-10</v>
      </c>
      <c r="AD135" s="1">
        <v>1.4402399999999999E-10</v>
      </c>
      <c r="AE135">
        <v>2.9010000000000001E-2</v>
      </c>
      <c r="AF135" s="49">
        <f t="shared" si="357"/>
        <v>0.66435094480529955</v>
      </c>
      <c r="AG135">
        <f t="shared" si="358"/>
        <v>2.9010000000000001E-2</v>
      </c>
      <c r="AJ135">
        <v>550450</v>
      </c>
      <c r="AK135" s="1">
        <v>2.1849233333333332E-10</v>
      </c>
      <c r="AL135" s="1">
        <v>2.1748166666666668E-10</v>
      </c>
      <c r="AM135">
        <v>2.921E-2</v>
      </c>
      <c r="AN135" s="49">
        <f t="shared" si="364"/>
        <v>1.007234517931862</v>
      </c>
      <c r="AO135">
        <f t="shared" si="365"/>
        <v>2.921E-2</v>
      </c>
      <c r="AS135" s="1"/>
      <c r="AT135" s="1"/>
      <c r="AV135" s="49"/>
      <c r="BA135" s="1"/>
      <c r="BB135" s="1"/>
      <c r="BD135" s="49"/>
    </row>
    <row r="136" spans="2:56" x14ac:dyDescent="0.25">
      <c r="B136">
        <v>555450</v>
      </c>
      <c r="C136" s="1">
        <v>1.46523E-10</v>
      </c>
      <c r="D136" s="1">
        <v>1.4643666666666667E-10</v>
      </c>
      <c r="E136">
        <v>3.0169999999999999E-2</v>
      </c>
      <c r="F136" s="49">
        <f t="shared" si="352"/>
        <v>0.67546087782300634</v>
      </c>
      <c r="G136" s="1">
        <f t="shared" si="360"/>
        <v>0.68546087782300635</v>
      </c>
      <c r="H136">
        <f t="shared" si="359"/>
        <v>3.0169999999999999E-2</v>
      </c>
      <c r="I136">
        <f t="shared" si="361"/>
        <v>3.1669999999999997E-2</v>
      </c>
      <c r="K136">
        <v>555450</v>
      </c>
      <c r="L136" s="1">
        <v>9.469916666666667E-11</v>
      </c>
      <c r="M136" s="1">
        <v>9.4659000000000004E-11</v>
      </c>
      <c r="N136">
        <v>2.5430000000000001E-2</v>
      </c>
      <c r="O136" s="1">
        <f t="shared" si="353"/>
        <v>0.43655659688768211</v>
      </c>
      <c r="P136" s="1">
        <f t="shared" si="362"/>
        <v>0.44655659688768212</v>
      </c>
      <c r="Q136">
        <f t="shared" si="354"/>
        <v>2.5430000000000001E-2</v>
      </c>
      <c r="R136">
        <f t="shared" si="363"/>
        <v>2.5580000000000002E-2</v>
      </c>
      <c r="T136">
        <v>555450</v>
      </c>
      <c r="U136" s="1">
        <v>9.2900333333333329E-11</v>
      </c>
      <c r="V136" s="1">
        <v>9.2863799999999999E-11</v>
      </c>
      <c r="W136">
        <v>2.5090000000000001E-2</v>
      </c>
      <c r="X136" s="1">
        <f t="shared" si="355"/>
        <v>0.42826409985724584</v>
      </c>
      <c r="Y136">
        <f t="shared" si="356"/>
        <v>2.5090000000000001E-2</v>
      </c>
      <c r="AB136">
        <v>555450</v>
      </c>
      <c r="AC136" s="1">
        <v>1.4409766666666666E-10</v>
      </c>
      <c r="AD136" s="1">
        <v>1.440086666666667E-10</v>
      </c>
      <c r="AE136">
        <v>2.911E-2</v>
      </c>
      <c r="AF136" s="49">
        <f t="shared" si="357"/>
        <v>0.66428025920103762</v>
      </c>
      <c r="AG136">
        <f t="shared" si="358"/>
        <v>2.911E-2</v>
      </c>
      <c r="AJ136">
        <v>555450</v>
      </c>
      <c r="AK136" s="1">
        <v>2.1850866666666665E-10</v>
      </c>
      <c r="AL136" s="1">
        <v>2.1749500000000001E-10</v>
      </c>
      <c r="AM136">
        <v>2.9329999999999998E-2</v>
      </c>
      <c r="AN136" s="49">
        <f t="shared" si="364"/>
        <v>1.0073098134668368</v>
      </c>
      <c r="AO136">
        <f t="shared" si="365"/>
        <v>2.9329999999999998E-2</v>
      </c>
      <c r="AS136" s="1"/>
      <c r="AT136" s="1"/>
      <c r="AV136" s="49"/>
      <c r="BA136" s="1"/>
      <c r="BB136" s="1"/>
      <c r="BD136" s="49"/>
    </row>
    <row r="137" spans="2:56" x14ac:dyDescent="0.25">
      <c r="B137">
        <v>560440</v>
      </c>
      <c r="C137" s="1">
        <v>1.4650999999999999E-10</v>
      </c>
      <c r="D137" s="1">
        <v>1.4642266666666665E-10</v>
      </c>
      <c r="E137">
        <v>3.0300000000000001E-2</v>
      </c>
      <c r="F137" s="49">
        <f t="shared" si="352"/>
        <v>0.67540094872374079</v>
      </c>
      <c r="G137" s="1">
        <f t="shared" si="360"/>
        <v>0.6854009487237408</v>
      </c>
      <c r="H137">
        <f t="shared" si="359"/>
        <v>3.0300000000000001E-2</v>
      </c>
      <c r="I137">
        <f t="shared" si="361"/>
        <v>3.1800000000000002E-2</v>
      </c>
      <c r="K137">
        <v>560440</v>
      </c>
      <c r="L137" s="1">
        <v>9.4621533333333332E-11</v>
      </c>
      <c r="M137" s="1">
        <v>9.4581366666666665E-11</v>
      </c>
      <c r="N137">
        <v>2.5520000000000001E-2</v>
      </c>
      <c r="O137" s="1">
        <f t="shared" si="353"/>
        <v>0.4361987126000163</v>
      </c>
      <c r="P137" s="1">
        <f t="shared" si="362"/>
        <v>0.44619871260001631</v>
      </c>
      <c r="Q137">
        <f t="shared" si="354"/>
        <v>2.5520000000000001E-2</v>
      </c>
      <c r="R137">
        <f t="shared" si="363"/>
        <v>2.5670000000000002E-2</v>
      </c>
      <c r="T137">
        <v>560440</v>
      </c>
      <c r="U137" s="1">
        <v>9.2889933333333323E-11</v>
      </c>
      <c r="V137" s="1">
        <v>9.2853199999999994E-11</v>
      </c>
      <c r="W137">
        <v>2.5190000000000001E-2</v>
      </c>
      <c r="X137" s="1">
        <f t="shared" si="355"/>
        <v>0.42821615657783324</v>
      </c>
      <c r="Y137">
        <f t="shared" si="356"/>
        <v>2.5190000000000001E-2</v>
      </c>
      <c r="AB137">
        <v>560440</v>
      </c>
      <c r="AC137" s="1">
        <v>1.4408066666666665E-10</v>
      </c>
      <c r="AD137" s="1">
        <v>1.4399000000000001E-10</v>
      </c>
      <c r="AE137">
        <v>2.9219999999999999E-2</v>
      </c>
      <c r="AF137" s="49">
        <f t="shared" si="357"/>
        <v>0.66420189037892086</v>
      </c>
      <c r="AG137">
        <f t="shared" si="358"/>
        <v>2.9219999999999999E-2</v>
      </c>
      <c r="AJ137">
        <v>560440</v>
      </c>
      <c r="AK137" s="1">
        <v>2.1847733333333332E-10</v>
      </c>
      <c r="AL137" s="1">
        <v>2.17461E-10</v>
      </c>
      <c r="AM137">
        <v>2.9420000000000002E-2</v>
      </c>
      <c r="AN137" s="49">
        <f t="shared" si="364"/>
        <v>1.007165368971171</v>
      </c>
      <c r="AO137">
        <f t="shared" si="365"/>
        <v>2.9420000000000002E-2</v>
      </c>
      <c r="AS137" s="1"/>
      <c r="AT137" s="1"/>
      <c r="AV137" s="49"/>
      <c r="BA137" s="1"/>
      <c r="BB137" s="1"/>
      <c r="BD137" s="49"/>
    </row>
    <row r="138" spans="2:56" x14ac:dyDescent="0.25">
      <c r="B138">
        <v>565440</v>
      </c>
      <c r="C138" s="1">
        <v>1.4649533333333331E-10</v>
      </c>
      <c r="D138" s="1">
        <v>1.4640766666666665E-10</v>
      </c>
      <c r="E138">
        <v>3.04E-2</v>
      </c>
      <c r="F138" s="49">
        <f t="shared" si="352"/>
        <v>0.67533333640662052</v>
      </c>
      <c r="G138" s="1">
        <f t="shared" si="360"/>
        <v>0.68533333640662053</v>
      </c>
      <c r="H138">
        <f t="shared" si="359"/>
        <v>3.04E-2</v>
      </c>
      <c r="I138">
        <f t="shared" si="361"/>
        <v>3.1899999999999998E-2</v>
      </c>
      <c r="K138">
        <v>565440</v>
      </c>
      <c r="L138" s="1">
        <v>9.4580233333333337E-11</v>
      </c>
      <c r="M138" s="1">
        <v>9.4540000000000004E-11</v>
      </c>
      <c r="N138">
        <v>2.5610000000000001E-2</v>
      </c>
      <c r="O138" s="1">
        <f t="shared" si="353"/>
        <v>0.43600832246158011</v>
      </c>
      <c r="P138" s="1">
        <f t="shared" si="362"/>
        <v>0.44600832246158012</v>
      </c>
      <c r="Q138">
        <f t="shared" si="354"/>
        <v>2.5610000000000001E-2</v>
      </c>
      <c r="R138">
        <f t="shared" si="363"/>
        <v>2.5760000000000002E-2</v>
      </c>
      <c r="T138">
        <v>565440</v>
      </c>
      <c r="U138" s="1">
        <v>9.2879833333333347E-11</v>
      </c>
      <c r="V138" s="1">
        <v>9.2842699999999994E-11</v>
      </c>
      <c r="W138">
        <v>2.528E-2</v>
      </c>
      <c r="X138" s="1">
        <f t="shared" si="355"/>
        <v>0.42816959627763473</v>
      </c>
      <c r="Y138">
        <f t="shared" si="356"/>
        <v>2.528E-2</v>
      </c>
      <c r="AB138">
        <v>565440</v>
      </c>
      <c r="AC138" s="1">
        <v>1.4406433333333334E-10</v>
      </c>
      <c r="AD138" s="1">
        <v>1.4397333333333334E-10</v>
      </c>
      <c r="AE138">
        <v>2.9340000000000001E-2</v>
      </c>
      <c r="AF138" s="49">
        <f t="shared" si="357"/>
        <v>0.66412659484394632</v>
      </c>
      <c r="AG138">
        <f t="shared" si="358"/>
        <v>2.9340000000000001E-2</v>
      </c>
      <c r="AJ138">
        <v>565440</v>
      </c>
      <c r="AK138" s="1">
        <v>2.1838200000000002E-10</v>
      </c>
      <c r="AL138" s="1">
        <v>2.1736366666666665E-10</v>
      </c>
      <c r="AM138">
        <v>2.9530000000000001E-2</v>
      </c>
      <c r="AN138" s="49">
        <f t="shared" si="364"/>
        <v>1.0067258889098898</v>
      </c>
      <c r="AO138">
        <f t="shared" si="365"/>
        <v>2.9530000000000001E-2</v>
      </c>
      <c r="AS138" s="1"/>
      <c r="AT138" s="1"/>
      <c r="AV138" s="49"/>
      <c r="BA138" s="1"/>
      <c r="BB138" s="1"/>
      <c r="BD138" s="49"/>
    </row>
    <row r="139" spans="2:56" x14ac:dyDescent="0.25">
      <c r="B139">
        <v>570430</v>
      </c>
      <c r="C139" s="1">
        <v>1.4648133333333335E-10</v>
      </c>
      <c r="D139" s="1">
        <v>1.4639266666666668E-10</v>
      </c>
      <c r="E139">
        <v>3.0530000000000002E-2</v>
      </c>
      <c r="F139" s="49">
        <f t="shared" si="352"/>
        <v>0.67526879737664225</v>
      </c>
      <c r="G139" s="1">
        <f t="shared" si="360"/>
        <v>0.68526879737664226</v>
      </c>
      <c r="H139">
        <f t="shared" si="359"/>
        <v>3.0530000000000002E-2</v>
      </c>
      <c r="I139">
        <f t="shared" si="361"/>
        <v>3.2030000000000003E-2</v>
      </c>
      <c r="K139">
        <v>570430</v>
      </c>
      <c r="L139" s="1">
        <v>9.4588300000000007E-11</v>
      </c>
      <c r="M139" s="1">
        <v>9.4547366666666671E-11</v>
      </c>
      <c r="N139">
        <v>2.5700000000000001E-2</v>
      </c>
      <c r="O139" s="1">
        <f t="shared" si="353"/>
        <v>0.43604550923599622</v>
      </c>
      <c r="P139" s="1">
        <f t="shared" si="362"/>
        <v>0.44604550923599623</v>
      </c>
      <c r="Q139">
        <f t="shared" si="354"/>
        <v>2.5700000000000001E-2</v>
      </c>
      <c r="R139">
        <f t="shared" si="363"/>
        <v>2.5850000000000001E-2</v>
      </c>
      <c r="T139">
        <v>570430</v>
      </c>
      <c r="U139" s="1">
        <v>9.2870300000000003E-11</v>
      </c>
      <c r="V139" s="1">
        <v>9.2832933333333338E-11</v>
      </c>
      <c r="W139">
        <v>2.5389999999999999E-2</v>
      </c>
      <c r="X139" s="1">
        <f t="shared" si="355"/>
        <v>0.42812564827150651</v>
      </c>
      <c r="Y139">
        <f t="shared" si="356"/>
        <v>2.5389999999999999E-2</v>
      </c>
      <c r="AB139">
        <v>570430</v>
      </c>
      <c r="AC139" s="1">
        <v>1.4404733333333335E-10</v>
      </c>
      <c r="AD139" s="1">
        <v>1.4395566666666666E-10</v>
      </c>
      <c r="AE139">
        <v>2.946E-2</v>
      </c>
      <c r="AF139" s="49">
        <f t="shared" si="357"/>
        <v>0.66404822602182967</v>
      </c>
      <c r="AG139">
        <f t="shared" si="358"/>
        <v>2.946E-2</v>
      </c>
      <c r="AJ139">
        <v>570430</v>
      </c>
      <c r="AK139" s="1">
        <v>2.1827666666666662E-10</v>
      </c>
      <c r="AL139" s="1">
        <v>2.1725633333333334E-10</v>
      </c>
      <c r="AM139">
        <v>2.963E-2</v>
      </c>
      <c r="AN139" s="49">
        <f t="shared" si="364"/>
        <v>1.0062403095414809</v>
      </c>
      <c r="AO139">
        <f t="shared" si="365"/>
        <v>2.963E-2</v>
      </c>
      <c r="AS139" s="1"/>
      <c r="AT139" s="1"/>
      <c r="AV139" s="49"/>
      <c r="BA139" s="1"/>
      <c r="BB139" s="1"/>
      <c r="BD139" s="49"/>
    </row>
    <row r="140" spans="2:56" x14ac:dyDescent="0.25">
      <c r="B140">
        <v>575430</v>
      </c>
      <c r="C140" s="1">
        <v>1.4646733333333333E-10</v>
      </c>
      <c r="D140" s="1">
        <v>1.46378E-10</v>
      </c>
      <c r="E140">
        <v>3.065E-2</v>
      </c>
      <c r="F140" s="49">
        <f t="shared" ref="F140:F203" si="366">(C140*A$9)/(A$12*A$5)</f>
        <v>0.67520425834666375</v>
      </c>
      <c r="G140" s="1">
        <f t="shared" si="360"/>
        <v>0.68520425834666376</v>
      </c>
      <c r="H140">
        <f t="shared" si="359"/>
        <v>3.065E-2</v>
      </c>
      <c r="I140">
        <f t="shared" si="361"/>
        <v>3.2149999999999998E-2</v>
      </c>
      <c r="K140">
        <v>575430</v>
      </c>
      <c r="L140" s="1">
        <v>9.4597599999999986E-11</v>
      </c>
      <c r="M140" s="1">
        <v>9.4556599999999996E-11</v>
      </c>
      <c r="N140">
        <v>2.58E-2</v>
      </c>
      <c r="O140" s="1">
        <f t="shared" ref="O140:O203" si="367">(L140*J$9)/(J$12*J$5)</f>
        <v>0.43608838159162461</v>
      </c>
      <c r="P140" s="1">
        <f t="shared" si="362"/>
        <v>0.44608838159162462</v>
      </c>
      <c r="Q140">
        <f t="shared" ref="Q140:Q203" si="368">N140</f>
        <v>2.58E-2</v>
      </c>
      <c r="R140">
        <f t="shared" si="363"/>
        <v>2.5950000000000001E-2</v>
      </c>
      <c r="T140">
        <v>575430</v>
      </c>
      <c r="U140" s="1">
        <v>9.2859899999999997E-11</v>
      </c>
      <c r="V140" s="1">
        <v>9.2822266666666666E-11</v>
      </c>
      <c r="W140">
        <v>2.547E-2</v>
      </c>
      <c r="X140" s="1">
        <f t="shared" ref="X140:X203" si="369">(U140*S$9)/(S$12*S$5)</f>
        <v>0.42807770499209397</v>
      </c>
      <c r="Y140">
        <f t="shared" ref="Y140:Y203" si="370">W140</f>
        <v>2.547E-2</v>
      </c>
      <c r="AB140">
        <v>575430</v>
      </c>
      <c r="AC140" s="1">
        <v>1.4403133333333335E-10</v>
      </c>
      <c r="AD140" s="1">
        <v>1.4393899999999999E-10</v>
      </c>
      <c r="AE140">
        <v>2.955E-2</v>
      </c>
      <c r="AF140" s="49">
        <f t="shared" ref="AF140:AF203" si="371">(AC140*AA$9)/(AA$12*AA$5)</f>
        <v>0.66397446713042585</v>
      </c>
      <c r="AG140">
        <f t="shared" ref="AG140:AG203" si="372">AE140</f>
        <v>2.955E-2</v>
      </c>
      <c r="AJ140">
        <v>575430</v>
      </c>
      <c r="AK140" s="1">
        <v>2.18196E-10</v>
      </c>
      <c r="AL140" s="1">
        <v>2.1717433333333331E-10</v>
      </c>
      <c r="AM140">
        <v>2.9729999999999999E-2</v>
      </c>
      <c r="AN140" s="49">
        <f t="shared" si="364"/>
        <v>1.0058684417973198</v>
      </c>
      <c r="AO140">
        <f t="shared" si="365"/>
        <v>2.9729999999999999E-2</v>
      </c>
      <c r="AS140" s="1"/>
      <c r="AT140" s="1"/>
      <c r="AV140" s="49"/>
      <c r="BA140" s="1"/>
      <c r="BB140" s="1"/>
      <c r="BD140" s="49"/>
    </row>
    <row r="141" spans="2:56" x14ac:dyDescent="0.25">
      <c r="B141">
        <v>580420</v>
      </c>
      <c r="C141" s="1">
        <v>1.4645333333333334E-10</v>
      </c>
      <c r="D141" s="1">
        <v>1.4636333333333332E-10</v>
      </c>
      <c r="E141">
        <v>3.0769999999999999E-2</v>
      </c>
      <c r="F141" s="49">
        <f t="shared" si="366"/>
        <v>0.67513971931668548</v>
      </c>
      <c r="G141" s="1">
        <f t="shared" si="360"/>
        <v>0.68513971931668549</v>
      </c>
      <c r="H141">
        <f t="shared" si="359"/>
        <v>3.0769999999999999E-2</v>
      </c>
      <c r="I141">
        <f t="shared" si="361"/>
        <v>3.227E-2</v>
      </c>
      <c r="K141">
        <v>580420</v>
      </c>
      <c r="L141" s="1">
        <v>9.4589133333333343E-11</v>
      </c>
      <c r="M141" s="1">
        <v>9.4547433333333324E-11</v>
      </c>
      <c r="N141">
        <v>2.5860000000000001E-2</v>
      </c>
      <c r="O141" s="1">
        <f t="shared" si="367"/>
        <v>0.43604935084492352</v>
      </c>
      <c r="P141" s="1">
        <f t="shared" si="362"/>
        <v>0.44604935084492353</v>
      </c>
      <c r="Q141">
        <f t="shared" si="368"/>
        <v>2.5860000000000001E-2</v>
      </c>
      <c r="R141">
        <f t="shared" si="363"/>
        <v>2.6010000000000002E-2</v>
      </c>
      <c r="T141">
        <v>580420</v>
      </c>
      <c r="U141" s="1">
        <v>9.2850233333333334E-11</v>
      </c>
      <c r="V141" s="1">
        <v>9.281230000000001E-11</v>
      </c>
      <c r="W141">
        <v>2.5559999999999999E-2</v>
      </c>
      <c r="X141" s="1">
        <f t="shared" si="369"/>
        <v>0.42803314232853751</v>
      </c>
      <c r="Y141">
        <f t="shared" si="370"/>
        <v>2.5559999999999999E-2</v>
      </c>
      <c r="AB141">
        <v>580420</v>
      </c>
      <c r="AC141" s="1">
        <v>1.4401600000000003E-10</v>
      </c>
      <c r="AD141" s="1">
        <v>1.4392333333333332E-10</v>
      </c>
      <c r="AE141">
        <v>2.9649999999999999E-2</v>
      </c>
      <c r="AF141" s="49">
        <f t="shared" si="371"/>
        <v>0.66390378152616392</v>
      </c>
      <c r="AG141">
        <f t="shared" si="372"/>
        <v>2.9649999999999999E-2</v>
      </c>
      <c r="AJ141">
        <v>580420</v>
      </c>
      <c r="AK141" s="1">
        <v>2.1821300000000001E-10</v>
      </c>
      <c r="AL141" s="1">
        <v>2.1718833333333333E-10</v>
      </c>
      <c r="AM141">
        <v>2.9829999999999999E-2</v>
      </c>
      <c r="AN141" s="49">
        <f t="shared" si="364"/>
        <v>1.0059468106194365</v>
      </c>
      <c r="AO141">
        <f t="shared" si="365"/>
        <v>2.9829999999999999E-2</v>
      </c>
      <c r="AS141" s="1"/>
      <c r="AT141" s="1"/>
      <c r="AV141" s="49"/>
      <c r="BA141" s="1"/>
      <c r="BB141" s="1"/>
      <c r="BD141" s="49"/>
    </row>
    <row r="142" spans="2:56" x14ac:dyDescent="0.25">
      <c r="B142">
        <v>585420</v>
      </c>
      <c r="C142" s="1">
        <v>1.4643833333333332E-10</v>
      </c>
      <c r="D142" s="1">
        <v>1.46348E-10</v>
      </c>
      <c r="E142">
        <v>3.0880000000000001E-2</v>
      </c>
      <c r="F142" s="49">
        <f t="shared" si="366"/>
        <v>0.67507057035599416</v>
      </c>
      <c r="G142" s="1">
        <f t="shared" si="360"/>
        <v>0.68507057035599417</v>
      </c>
      <c r="H142">
        <f t="shared" si="359"/>
        <v>3.0880000000000001E-2</v>
      </c>
      <c r="I142">
        <f t="shared" si="361"/>
        <v>3.2379999999999999E-2</v>
      </c>
      <c r="K142">
        <v>585420</v>
      </c>
      <c r="L142" s="1">
        <v>9.4555566666666661E-11</v>
      </c>
      <c r="M142" s="1">
        <v>9.4514166666666673E-11</v>
      </c>
      <c r="N142">
        <v>2.597E-2</v>
      </c>
      <c r="O142" s="1">
        <f t="shared" si="367"/>
        <v>0.43589461083733244</v>
      </c>
      <c r="P142" s="1">
        <f t="shared" si="362"/>
        <v>0.44589461083733245</v>
      </c>
      <c r="Q142">
        <f t="shared" si="368"/>
        <v>2.597E-2</v>
      </c>
      <c r="R142">
        <f t="shared" si="363"/>
        <v>2.6120000000000001E-2</v>
      </c>
      <c r="T142">
        <v>585420</v>
      </c>
      <c r="U142" s="1">
        <v>9.284060000000001E-11</v>
      </c>
      <c r="V142" s="1">
        <v>9.2802466666666674E-11</v>
      </c>
      <c r="W142">
        <v>2.5659999999999999E-2</v>
      </c>
      <c r="X142" s="1">
        <f t="shared" si="369"/>
        <v>0.42798873332933818</v>
      </c>
      <c r="Y142">
        <f t="shared" si="370"/>
        <v>2.5659999999999999E-2</v>
      </c>
      <c r="AB142">
        <v>585420</v>
      </c>
      <c r="AC142" s="1">
        <v>1.4399866666666667E-10</v>
      </c>
      <c r="AD142" s="1">
        <v>1.4390533333333333E-10</v>
      </c>
      <c r="AE142">
        <v>2.9770000000000001E-2</v>
      </c>
      <c r="AF142" s="49">
        <f t="shared" si="371"/>
        <v>0.66382387606047621</v>
      </c>
      <c r="AG142">
        <f t="shared" si="372"/>
        <v>2.9770000000000001E-2</v>
      </c>
      <c r="AJ142">
        <v>585420</v>
      </c>
      <c r="AK142" s="1">
        <v>2.1820466666666668E-10</v>
      </c>
      <c r="AL142" s="1">
        <v>2.1717700000000002E-10</v>
      </c>
      <c r="AM142">
        <v>2.9919999999999999E-2</v>
      </c>
      <c r="AN142" s="49">
        <f t="shared" si="364"/>
        <v>1.0059083945301637</v>
      </c>
      <c r="AO142">
        <f t="shared" si="365"/>
        <v>2.9919999999999999E-2</v>
      </c>
      <c r="AS142" s="1"/>
      <c r="AT142" s="1"/>
      <c r="AV142" s="49"/>
      <c r="BA142" s="1"/>
      <c r="BB142" s="1"/>
      <c r="BD142" s="49"/>
    </row>
    <row r="143" spans="2:56" x14ac:dyDescent="0.25">
      <c r="B143">
        <v>590410</v>
      </c>
      <c r="C143" s="1">
        <v>1.4642500000000001E-10</v>
      </c>
      <c r="D143" s="1">
        <v>1.4633400000000001E-10</v>
      </c>
      <c r="E143">
        <v>3.1E-2</v>
      </c>
      <c r="F143" s="49">
        <f t="shared" si="366"/>
        <v>0.67500910461315777</v>
      </c>
      <c r="G143" s="1">
        <f t="shared" si="360"/>
        <v>0.68500910461315778</v>
      </c>
      <c r="H143">
        <f t="shared" si="359"/>
        <v>3.1E-2</v>
      </c>
      <c r="I143">
        <f t="shared" si="361"/>
        <v>3.2500000000000001E-2</v>
      </c>
      <c r="K143">
        <v>590410</v>
      </c>
      <c r="L143" s="1">
        <v>9.4513100000000011E-11</v>
      </c>
      <c r="M143" s="1">
        <v>9.4470999999999994E-11</v>
      </c>
      <c r="N143">
        <v>2.6040000000000001E-2</v>
      </c>
      <c r="O143" s="1">
        <f t="shared" si="367"/>
        <v>0.43569884244639817</v>
      </c>
      <c r="P143" s="1">
        <f t="shared" si="362"/>
        <v>0.44569884244639818</v>
      </c>
      <c r="Q143">
        <f t="shared" si="368"/>
        <v>2.6040000000000001E-2</v>
      </c>
      <c r="R143">
        <f t="shared" si="363"/>
        <v>2.6190000000000001E-2</v>
      </c>
      <c r="T143">
        <v>590410</v>
      </c>
      <c r="U143" s="1">
        <v>9.2831766666666657E-11</v>
      </c>
      <c r="V143" s="1">
        <v>9.2793366666666668E-11</v>
      </c>
      <c r="W143">
        <v>2.5739999999999999E-2</v>
      </c>
      <c r="X143" s="1">
        <f t="shared" si="369"/>
        <v>0.42794801227470886</v>
      </c>
      <c r="Y143">
        <f t="shared" si="370"/>
        <v>2.5739999999999999E-2</v>
      </c>
      <c r="AB143">
        <v>590410</v>
      </c>
      <c r="AC143" s="1">
        <v>1.43983E-10</v>
      </c>
      <c r="AD143" s="1">
        <v>1.4388866666666665E-10</v>
      </c>
      <c r="AE143">
        <v>2.9870000000000001E-2</v>
      </c>
      <c r="AF143" s="49">
        <f t="shared" si="371"/>
        <v>0.66375165381264334</v>
      </c>
      <c r="AG143">
        <f t="shared" si="372"/>
        <v>2.9870000000000001E-2</v>
      </c>
      <c r="AJ143">
        <v>590410</v>
      </c>
      <c r="AK143" s="1">
        <v>2.1812166666666664E-10</v>
      </c>
      <c r="AL143" s="1">
        <v>2.1709266666666668E-10</v>
      </c>
      <c r="AM143">
        <v>3.0020000000000002E-2</v>
      </c>
      <c r="AN143" s="49">
        <f t="shared" si="364"/>
        <v>1.0055257702810059</v>
      </c>
      <c r="AO143">
        <f t="shared" si="365"/>
        <v>3.0020000000000002E-2</v>
      </c>
      <c r="AS143" s="1"/>
      <c r="AT143" s="1"/>
      <c r="AV143" s="49"/>
      <c r="BA143" s="1"/>
      <c r="BB143" s="1"/>
      <c r="BD143" s="49"/>
    </row>
    <row r="144" spans="2:56" x14ac:dyDescent="0.25">
      <c r="B144">
        <v>595410</v>
      </c>
      <c r="C144" s="1">
        <v>1.4641133333333332E-10</v>
      </c>
      <c r="D144" s="1">
        <v>1.4631999999999999E-10</v>
      </c>
      <c r="E144">
        <v>3.1119999999999998E-2</v>
      </c>
      <c r="F144" s="49">
        <f t="shared" si="366"/>
        <v>0.67494610222675011</v>
      </c>
      <c r="G144" s="1">
        <f t="shared" si="360"/>
        <v>0.68494610222675012</v>
      </c>
      <c r="H144">
        <f t="shared" si="359"/>
        <v>3.1119999999999998E-2</v>
      </c>
      <c r="I144">
        <f t="shared" si="361"/>
        <v>3.2619999999999996E-2</v>
      </c>
      <c r="K144">
        <v>595410</v>
      </c>
      <c r="L144" s="1">
        <v>9.4474533333333337E-11</v>
      </c>
      <c r="M144" s="1">
        <v>9.4432066666666661E-11</v>
      </c>
      <c r="N144">
        <v>2.613E-2</v>
      </c>
      <c r="O144" s="1">
        <f t="shared" si="367"/>
        <v>0.43552105278524333</v>
      </c>
      <c r="P144" s="1">
        <f t="shared" si="362"/>
        <v>0.44552105278524334</v>
      </c>
      <c r="Q144">
        <f t="shared" si="368"/>
        <v>2.613E-2</v>
      </c>
      <c r="R144">
        <f t="shared" si="363"/>
        <v>2.6280000000000001E-2</v>
      </c>
      <c r="T144">
        <v>595410</v>
      </c>
      <c r="U144" s="1">
        <v>9.2822133333333333E-11</v>
      </c>
      <c r="V144" s="1">
        <v>9.27834E-11</v>
      </c>
      <c r="W144">
        <v>2.5839999999999998E-2</v>
      </c>
      <c r="X144" s="1">
        <f t="shared" si="369"/>
        <v>0.42790360327550941</v>
      </c>
      <c r="Y144">
        <f t="shared" si="370"/>
        <v>2.5839999999999998E-2</v>
      </c>
      <c r="AB144">
        <v>595410</v>
      </c>
      <c r="AC144" s="1">
        <v>1.4396766666666668E-10</v>
      </c>
      <c r="AD144" s="1">
        <v>1.4387299999999999E-10</v>
      </c>
      <c r="AE144">
        <v>2.997E-2</v>
      </c>
      <c r="AF144" s="49">
        <f t="shared" si="371"/>
        <v>0.66368096820838141</v>
      </c>
      <c r="AG144">
        <f t="shared" si="372"/>
        <v>2.997E-2</v>
      </c>
      <c r="AJ144">
        <v>595410</v>
      </c>
      <c r="AK144" s="1">
        <v>2.1802266666666667E-10</v>
      </c>
      <c r="AL144" s="1">
        <v>2.1699133333333335E-10</v>
      </c>
      <c r="AM144">
        <v>3.0120000000000001E-2</v>
      </c>
      <c r="AN144" s="49">
        <f t="shared" si="364"/>
        <v>1.0050693871404448</v>
      </c>
      <c r="AO144">
        <f t="shared" si="365"/>
        <v>3.0120000000000001E-2</v>
      </c>
      <c r="AS144" s="1"/>
      <c r="AT144" s="1"/>
      <c r="AV144" s="49"/>
      <c r="BA144" s="1"/>
      <c r="BB144" s="1"/>
      <c r="BD144" s="49"/>
    </row>
    <row r="145" spans="2:56" x14ac:dyDescent="0.25">
      <c r="B145">
        <v>600400</v>
      </c>
      <c r="C145" s="1">
        <v>1.4639799999999999E-10</v>
      </c>
      <c r="D145" s="1">
        <v>1.4630500000000002E-10</v>
      </c>
      <c r="E145">
        <v>3.1220000000000001E-2</v>
      </c>
      <c r="F145" s="49">
        <f t="shared" si="366"/>
        <v>0.67488463648391361</v>
      </c>
      <c r="G145" s="1">
        <f t="shared" si="360"/>
        <v>0.68488463648391362</v>
      </c>
      <c r="H145">
        <f t="shared" si="359"/>
        <v>3.1220000000000001E-2</v>
      </c>
      <c r="I145">
        <f t="shared" si="361"/>
        <v>3.2719999999999999E-2</v>
      </c>
      <c r="K145">
        <v>600400</v>
      </c>
      <c r="L145" s="1">
        <v>9.4436433333333341E-11</v>
      </c>
      <c r="M145" s="1">
        <v>9.4393599999999994E-11</v>
      </c>
      <c r="N145">
        <v>2.6210000000000001E-2</v>
      </c>
      <c r="O145" s="1">
        <f t="shared" si="367"/>
        <v>0.43534541442508795</v>
      </c>
      <c r="P145" s="1">
        <f t="shared" si="362"/>
        <v>0.44534541442508796</v>
      </c>
      <c r="Q145">
        <f t="shared" si="368"/>
        <v>2.6210000000000001E-2</v>
      </c>
      <c r="R145">
        <f t="shared" si="363"/>
        <v>2.6360000000000001E-2</v>
      </c>
      <c r="T145">
        <v>600400</v>
      </c>
      <c r="U145" s="1">
        <v>9.281230000000001E-11</v>
      </c>
      <c r="V145" s="1">
        <v>9.2773366666666665E-11</v>
      </c>
      <c r="W145">
        <v>2.5930000000000002E-2</v>
      </c>
      <c r="X145" s="1">
        <f t="shared" si="369"/>
        <v>0.42785827229016754</v>
      </c>
      <c r="Y145">
        <f t="shared" si="370"/>
        <v>2.5930000000000002E-2</v>
      </c>
      <c r="AB145">
        <v>600400</v>
      </c>
      <c r="AC145" s="1">
        <v>1.4395099999999999E-10</v>
      </c>
      <c r="AD145" s="1">
        <v>1.43856E-10</v>
      </c>
      <c r="AE145">
        <v>3.0079999999999999E-2</v>
      </c>
      <c r="AF145" s="49">
        <f t="shared" si="371"/>
        <v>0.66360413602983537</v>
      </c>
      <c r="AG145">
        <f t="shared" si="372"/>
        <v>3.0079999999999999E-2</v>
      </c>
      <c r="AJ145">
        <v>600400</v>
      </c>
      <c r="AK145" s="1">
        <v>2.1799733333333332E-10</v>
      </c>
      <c r="AL145" s="1">
        <v>2.1696366666666668E-10</v>
      </c>
      <c r="AM145">
        <v>3.022E-2</v>
      </c>
      <c r="AN145" s="49">
        <f t="shared" si="364"/>
        <v>1.0049526022290551</v>
      </c>
      <c r="AO145">
        <f t="shared" si="365"/>
        <v>3.022E-2</v>
      </c>
      <c r="AS145" s="1"/>
      <c r="AT145" s="1"/>
      <c r="AV145" s="49"/>
      <c r="BA145" s="1"/>
      <c r="BB145" s="1"/>
      <c r="BD145" s="49"/>
    </row>
    <row r="146" spans="2:56" x14ac:dyDescent="0.25">
      <c r="B146">
        <v>605400</v>
      </c>
      <c r="C146" s="1">
        <v>1.4638266666666667E-10</v>
      </c>
      <c r="D146" s="1">
        <v>1.4628966666666667E-10</v>
      </c>
      <c r="E146">
        <v>3.134E-2</v>
      </c>
      <c r="F146" s="49">
        <f t="shared" si="366"/>
        <v>0.67481395087965157</v>
      </c>
      <c r="G146" s="1">
        <f t="shared" si="360"/>
        <v>0.68481395087965158</v>
      </c>
      <c r="H146">
        <f t="shared" si="359"/>
        <v>3.134E-2</v>
      </c>
      <c r="I146">
        <f t="shared" si="361"/>
        <v>3.2840000000000001E-2</v>
      </c>
      <c r="K146">
        <v>605400</v>
      </c>
      <c r="L146" s="1">
        <v>9.441453333333334E-11</v>
      </c>
      <c r="M146" s="1">
        <v>9.4371666666666665E-11</v>
      </c>
      <c r="N146">
        <v>2.631E-2</v>
      </c>
      <c r="O146" s="1">
        <f t="shared" si="367"/>
        <v>0.43524445694247887</v>
      </c>
      <c r="P146" s="1">
        <f t="shared" si="362"/>
        <v>0.44524445694247888</v>
      </c>
      <c r="Q146">
        <f t="shared" si="368"/>
        <v>2.631E-2</v>
      </c>
      <c r="R146">
        <f t="shared" si="363"/>
        <v>2.6460000000000001E-2</v>
      </c>
      <c r="T146">
        <v>605400</v>
      </c>
      <c r="U146" s="1">
        <v>9.2803133333333325E-11</v>
      </c>
      <c r="V146" s="1">
        <v>9.2763933333333327E-11</v>
      </c>
      <c r="W146">
        <v>2.6020000000000001E-2</v>
      </c>
      <c r="X146" s="1">
        <f t="shared" si="369"/>
        <v>0.42781601459196733</v>
      </c>
      <c r="Y146">
        <f t="shared" si="370"/>
        <v>2.6020000000000001E-2</v>
      </c>
      <c r="AB146">
        <v>605400</v>
      </c>
      <c r="AC146" s="1">
        <v>1.4393566666666667E-10</v>
      </c>
      <c r="AD146" s="1">
        <v>1.4383966666666665E-10</v>
      </c>
      <c r="AE146">
        <v>3.0190000000000002E-2</v>
      </c>
      <c r="AF146" s="49">
        <f t="shared" si="371"/>
        <v>0.66353345042557343</v>
      </c>
      <c r="AG146">
        <f t="shared" si="372"/>
        <v>3.0190000000000002E-2</v>
      </c>
      <c r="AJ146">
        <v>605400</v>
      </c>
      <c r="AK146" s="1">
        <v>2.1800400000000001E-10</v>
      </c>
      <c r="AL146" s="1">
        <v>2.1696733333333335E-10</v>
      </c>
      <c r="AM146">
        <v>3.031E-2</v>
      </c>
      <c r="AN146" s="49">
        <f t="shared" si="364"/>
        <v>1.0049833351004736</v>
      </c>
      <c r="AO146">
        <f t="shared" si="365"/>
        <v>3.031E-2</v>
      </c>
      <c r="AS146" s="1"/>
      <c r="AT146" s="1"/>
      <c r="AV146" s="49"/>
      <c r="BA146" s="1"/>
      <c r="BB146" s="1"/>
      <c r="BD146" s="49"/>
    </row>
    <row r="147" spans="2:56" x14ac:dyDescent="0.25">
      <c r="B147">
        <v>610390</v>
      </c>
      <c r="C147" s="1">
        <v>1.4637000000000001E-10</v>
      </c>
      <c r="D147" s="1">
        <v>1.4627566666666666E-10</v>
      </c>
      <c r="E147">
        <v>3.1460000000000002E-2</v>
      </c>
      <c r="F147" s="49">
        <f t="shared" si="366"/>
        <v>0.67475555842395696</v>
      </c>
      <c r="G147" s="1">
        <f t="shared" si="360"/>
        <v>0.68475555842395697</v>
      </c>
      <c r="H147">
        <f t="shared" si="359"/>
        <v>3.1460000000000002E-2</v>
      </c>
      <c r="I147">
        <f t="shared" si="361"/>
        <v>3.2960000000000003E-2</v>
      </c>
      <c r="K147">
        <v>610390</v>
      </c>
      <c r="L147" s="1">
        <v>9.4404599999999985E-11</v>
      </c>
      <c r="M147" s="1">
        <v>9.4361333333333338E-11</v>
      </c>
      <c r="N147">
        <v>2.639E-2</v>
      </c>
      <c r="O147" s="1">
        <f t="shared" si="367"/>
        <v>0.43519866496406556</v>
      </c>
      <c r="P147" s="1">
        <f t="shared" si="362"/>
        <v>0.44519866496406557</v>
      </c>
      <c r="Q147">
        <f t="shared" si="368"/>
        <v>2.639E-2</v>
      </c>
      <c r="R147">
        <f t="shared" si="363"/>
        <v>2.6540000000000001E-2</v>
      </c>
      <c r="T147">
        <v>610390</v>
      </c>
      <c r="U147" s="1">
        <v>9.2793666666666674E-11</v>
      </c>
      <c r="V147" s="1">
        <v>9.2754166666666671E-11</v>
      </c>
      <c r="W147">
        <v>2.6120000000000001E-2</v>
      </c>
      <c r="X147" s="1">
        <f t="shared" si="369"/>
        <v>0.42777237391455347</v>
      </c>
      <c r="Y147">
        <f t="shared" si="370"/>
        <v>2.6120000000000001E-2</v>
      </c>
      <c r="AB147">
        <v>610390</v>
      </c>
      <c r="AC147" s="1">
        <v>1.4392000000000001E-10</v>
      </c>
      <c r="AD147" s="1">
        <v>1.4382366666666666E-10</v>
      </c>
      <c r="AE147">
        <v>3.0290000000000001E-2</v>
      </c>
      <c r="AF147" s="49">
        <f t="shared" si="371"/>
        <v>0.66346122817774056</v>
      </c>
      <c r="AG147">
        <f t="shared" si="372"/>
        <v>3.0290000000000001E-2</v>
      </c>
      <c r="AJ147">
        <v>610390</v>
      </c>
      <c r="AK147" s="1">
        <v>2.1808166666666666E-10</v>
      </c>
      <c r="AL147" s="1">
        <v>2.1704166666666668E-10</v>
      </c>
      <c r="AM147">
        <v>3.041E-2</v>
      </c>
      <c r="AN147" s="49">
        <f t="shared" si="364"/>
        <v>1.0053413730524963</v>
      </c>
      <c r="AO147">
        <f t="shared" si="365"/>
        <v>3.041E-2</v>
      </c>
      <c r="AS147" s="1"/>
      <c r="AT147" s="1"/>
      <c r="AV147" s="49"/>
      <c r="BA147" s="1"/>
      <c r="BB147" s="1"/>
      <c r="BD147" s="49"/>
    </row>
    <row r="148" spans="2:56" x14ac:dyDescent="0.25">
      <c r="B148">
        <v>615390</v>
      </c>
      <c r="C148" s="1">
        <v>1.4635366666666668E-10</v>
      </c>
      <c r="D148" s="1">
        <v>1.4625899999999999E-10</v>
      </c>
      <c r="E148">
        <v>3.1559999999999998E-2</v>
      </c>
      <c r="F148" s="49">
        <f t="shared" si="366"/>
        <v>0.6746802628889822</v>
      </c>
      <c r="G148" s="1">
        <f t="shared" si="360"/>
        <v>0.68468026288898221</v>
      </c>
      <c r="H148">
        <f t="shared" si="359"/>
        <v>3.1559999999999998E-2</v>
      </c>
      <c r="I148">
        <f t="shared" si="361"/>
        <v>3.3059999999999999E-2</v>
      </c>
      <c r="K148">
        <v>615390</v>
      </c>
      <c r="L148" s="1">
        <v>9.4392733333333331E-11</v>
      </c>
      <c r="M148" s="1">
        <v>9.4349466666666659E-11</v>
      </c>
      <c r="N148">
        <v>2.647E-2</v>
      </c>
      <c r="O148" s="1">
        <f t="shared" si="367"/>
        <v>0.43514396045294107</v>
      </c>
      <c r="P148" s="1">
        <f t="shared" si="362"/>
        <v>0.44514396045294108</v>
      </c>
      <c r="Q148">
        <f t="shared" si="368"/>
        <v>2.647E-2</v>
      </c>
      <c r="R148">
        <f t="shared" si="363"/>
        <v>2.6620000000000001E-2</v>
      </c>
      <c r="T148">
        <v>615390</v>
      </c>
      <c r="U148" s="1">
        <v>9.2783900000000004E-11</v>
      </c>
      <c r="V148" s="1">
        <v>9.2744166666666663E-11</v>
      </c>
      <c r="W148">
        <v>2.6190000000000001E-2</v>
      </c>
      <c r="X148" s="1">
        <f t="shared" si="369"/>
        <v>0.42772735025792563</v>
      </c>
      <c r="Y148">
        <f t="shared" si="370"/>
        <v>2.6190000000000001E-2</v>
      </c>
      <c r="AB148">
        <v>615390</v>
      </c>
      <c r="AC148" s="1">
        <v>1.43904E-10</v>
      </c>
      <c r="AD148" s="1">
        <v>1.4380699999999999E-10</v>
      </c>
      <c r="AE148">
        <v>3.0380000000000001E-2</v>
      </c>
      <c r="AF148" s="49">
        <f t="shared" si="371"/>
        <v>0.66338746928633674</v>
      </c>
      <c r="AG148">
        <f t="shared" si="372"/>
        <v>3.0380000000000001E-2</v>
      </c>
      <c r="AJ148">
        <v>615390</v>
      </c>
      <c r="AK148" s="1">
        <v>2.1813566666666671E-10</v>
      </c>
      <c r="AL148" s="1">
        <v>2.1709166666666667E-10</v>
      </c>
      <c r="AM148">
        <v>3.0499999999999999E-2</v>
      </c>
      <c r="AN148" s="49">
        <f t="shared" si="364"/>
        <v>1.0055903093109846</v>
      </c>
      <c r="AO148">
        <f t="shared" si="365"/>
        <v>3.0499999999999999E-2</v>
      </c>
      <c r="AS148" s="1"/>
      <c r="AT148" s="1"/>
      <c r="AV148" s="49"/>
      <c r="BA148" s="1"/>
      <c r="BB148" s="1"/>
      <c r="BD148" s="49"/>
    </row>
    <row r="149" spans="2:56" x14ac:dyDescent="0.25">
      <c r="B149">
        <v>620380</v>
      </c>
      <c r="C149" s="1">
        <v>1.4633966666666666E-10</v>
      </c>
      <c r="D149" s="1">
        <v>1.4624433333333333E-10</v>
      </c>
      <c r="E149">
        <v>3.168E-2</v>
      </c>
      <c r="F149" s="49">
        <f t="shared" si="366"/>
        <v>0.67461572385900381</v>
      </c>
      <c r="G149" s="1">
        <f t="shared" si="360"/>
        <v>0.68461572385900382</v>
      </c>
      <c r="H149">
        <f t="shared" si="359"/>
        <v>3.168E-2</v>
      </c>
      <c r="I149">
        <f t="shared" si="361"/>
        <v>3.3180000000000001E-2</v>
      </c>
      <c r="K149">
        <v>620380</v>
      </c>
      <c r="L149" s="1">
        <v>9.4382666666666656E-11</v>
      </c>
      <c r="M149" s="1">
        <v>9.4338666666666667E-11</v>
      </c>
      <c r="N149">
        <v>2.656E-2</v>
      </c>
      <c r="O149" s="1">
        <f t="shared" si="367"/>
        <v>0.43509755381709947</v>
      </c>
      <c r="P149" s="1">
        <f t="shared" si="362"/>
        <v>0.44509755381709948</v>
      </c>
      <c r="Q149">
        <f t="shared" si="368"/>
        <v>2.656E-2</v>
      </c>
      <c r="R149">
        <f t="shared" si="363"/>
        <v>2.6710000000000001E-2</v>
      </c>
      <c r="T149">
        <v>620380</v>
      </c>
      <c r="U149" s="1">
        <v>9.2775866666666673E-11</v>
      </c>
      <c r="V149" s="1">
        <v>9.2735833333333327E-11</v>
      </c>
      <c r="W149">
        <v>2.6280000000000001E-2</v>
      </c>
      <c r="X149" s="1">
        <f t="shared" si="369"/>
        <v>0.42769031714786665</v>
      </c>
      <c r="Y149">
        <f t="shared" si="370"/>
        <v>2.6280000000000001E-2</v>
      </c>
      <c r="AB149">
        <v>620380</v>
      </c>
      <c r="AC149" s="1">
        <v>1.43889E-10</v>
      </c>
      <c r="AD149" s="1">
        <v>1.4379133333333333E-10</v>
      </c>
      <c r="AE149">
        <v>3.049E-2</v>
      </c>
      <c r="AF149" s="49">
        <f t="shared" si="371"/>
        <v>0.66331832032564553</v>
      </c>
      <c r="AG149">
        <f t="shared" si="372"/>
        <v>3.049E-2</v>
      </c>
      <c r="AJ149">
        <v>620380</v>
      </c>
      <c r="AK149" s="1">
        <v>2.1794566666666665E-10</v>
      </c>
      <c r="AL149" s="1">
        <v>2.1690166666666667E-10</v>
      </c>
      <c r="AM149">
        <v>3.0589999999999999E-2</v>
      </c>
      <c r="AN149" s="49">
        <f t="shared" si="364"/>
        <v>1.0047144224755635</v>
      </c>
      <c r="AO149">
        <f t="shared" si="365"/>
        <v>3.0589999999999999E-2</v>
      </c>
      <c r="AS149" s="1"/>
      <c r="AT149" s="1"/>
      <c r="AV149" s="49"/>
      <c r="BA149" s="1"/>
      <c r="BB149" s="1"/>
      <c r="BD149" s="49"/>
    </row>
    <row r="150" spans="2:56" x14ac:dyDescent="0.25">
      <c r="B150">
        <v>625380</v>
      </c>
      <c r="C150" s="1">
        <v>1.4632566666666667E-10</v>
      </c>
      <c r="D150" s="1">
        <v>1.4622966666666668E-10</v>
      </c>
      <c r="E150">
        <v>3.1789999999999999E-2</v>
      </c>
      <c r="F150" s="49">
        <f t="shared" si="366"/>
        <v>0.67455118482902543</v>
      </c>
      <c r="G150" s="1">
        <f t="shared" si="360"/>
        <v>0.68455118482902544</v>
      </c>
      <c r="H150">
        <f t="shared" si="359"/>
        <v>3.1789999999999999E-2</v>
      </c>
      <c r="I150">
        <f t="shared" si="361"/>
        <v>3.329E-2</v>
      </c>
      <c r="K150">
        <v>625380</v>
      </c>
      <c r="L150" s="1">
        <v>9.4370533333333337E-11</v>
      </c>
      <c r="M150" s="1">
        <v>9.4326500000000008E-11</v>
      </c>
      <c r="N150">
        <v>2.664E-2</v>
      </c>
      <c r="O150" s="1">
        <f t="shared" si="367"/>
        <v>0.43504161999111823</v>
      </c>
      <c r="P150" s="1">
        <f t="shared" si="362"/>
        <v>0.44504161999111824</v>
      </c>
      <c r="Q150">
        <f t="shared" si="368"/>
        <v>2.664E-2</v>
      </c>
      <c r="R150">
        <f t="shared" si="363"/>
        <v>2.6790000000000001E-2</v>
      </c>
      <c r="T150">
        <v>625380</v>
      </c>
      <c r="U150" s="1">
        <v>9.2766766666666668E-11</v>
      </c>
      <c r="V150" s="1">
        <v>9.2726533333333335E-11</v>
      </c>
      <c r="W150">
        <v>2.6370000000000001E-2</v>
      </c>
      <c r="X150" s="1">
        <f t="shared" si="369"/>
        <v>0.4276483667783807</v>
      </c>
      <c r="Y150">
        <f t="shared" si="370"/>
        <v>2.6370000000000001E-2</v>
      </c>
      <c r="AB150">
        <v>625380</v>
      </c>
      <c r="AC150" s="1">
        <v>1.4387333333333333E-10</v>
      </c>
      <c r="AD150" s="1">
        <v>1.4377500000000003E-10</v>
      </c>
      <c r="AE150">
        <v>3.058E-2</v>
      </c>
      <c r="AF150" s="49">
        <f t="shared" si="371"/>
        <v>0.66324609807781265</v>
      </c>
      <c r="AG150">
        <f t="shared" si="372"/>
        <v>3.058E-2</v>
      </c>
      <c r="AJ150">
        <v>625380</v>
      </c>
      <c r="AK150" s="1">
        <v>2.1772700000000001E-10</v>
      </c>
      <c r="AL150" s="1">
        <v>2.1668200000000001E-10</v>
      </c>
      <c r="AM150">
        <v>3.0689999999999999E-2</v>
      </c>
      <c r="AN150" s="49">
        <f t="shared" si="364"/>
        <v>1.0037063842930443</v>
      </c>
      <c r="AO150">
        <f t="shared" si="365"/>
        <v>3.0689999999999999E-2</v>
      </c>
      <c r="AS150" s="1"/>
      <c r="AT150" s="1"/>
      <c r="AV150" s="49"/>
      <c r="BA150" s="1"/>
      <c r="BB150" s="1"/>
      <c r="BD150" s="49"/>
    </row>
    <row r="151" spans="2:56" x14ac:dyDescent="0.25">
      <c r="B151">
        <v>630370</v>
      </c>
      <c r="C151" s="1">
        <v>1.46312E-10</v>
      </c>
      <c r="D151" s="1">
        <v>1.46215E-10</v>
      </c>
      <c r="E151">
        <v>3.1890000000000002E-2</v>
      </c>
      <c r="F151" s="49">
        <f t="shared" si="366"/>
        <v>0.67448818244261788</v>
      </c>
      <c r="G151" s="1">
        <f t="shared" si="360"/>
        <v>0.68448818244261789</v>
      </c>
      <c r="H151">
        <f t="shared" si="359"/>
        <v>3.1890000000000002E-2</v>
      </c>
      <c r="I151">
        <f t="shared" si="361"/>
        <v>3.3390000000000003E-2</v>
      </c>
      <c r="K151">
        <v>630370</v>
      </c>
      <c r="L151" s="1">
        <v>9.4359233333333341E-11</v>
      </c>
      <c r="M151" s="1">
        <v>9.4314799999999987E-11</v>
      </c>
      <c r="N151">
        <v>2.674E-2</v>
      </c>
      <c r="O151" s="1">
        <f t="shared" si="367"/>
        <v>0.43498952777406436</v>
      </c>
      <c r="P151" s="1">
        <f t="shared" si="362"/>
        <v>0.44498952777406436</v>
      </c>
      <c r="Q151">
        <f t="shared" si="368"/>
        <v>2.674E-2</v>
      </c>
      <c r="R151">
        <f t="shared" si="363"/>
        <v>2.6890000000000001E-2</v>
      </c>
      <c r="T151">
        <v>630370</v>
      </c>
      <c r="U151" s="1">
        <v>9.2757699999999989E-11</v>
      </c>
      <c r="V151" s="1">
        <v>9.2717166666666664E-11</v>
      </c>
      <c r="W151">
        <v>2.647E-2</v>
      </c>
      <c r="X151" s="1">
        <f t="shared" si="369"/>
        <v>0.42760657007325176</v>
      </c>
      <c r="Y151">
        <f t="shared" si="370"/>
        <v>2.647E-2</v>
      </c>
      <c r="AB151">
        <v>630370</v>
      </c>
      <c r="AC151" s="1">
        <v>1.4385800000000002E-10</v>
      </c>
      <c r="AD151" s="1">
        <v>1.4375866666666668E-10</v>
      </c>
      <c r="AE151">
        <v>3.0700000000000002E-2</v>
      </c>
      <c r="AF151" s="49">
        <f t="shared" si="371"/>
        <v>0.66317541247355072</v>
      </c>
      <c r="AG151">
        <f t="shared" si="372"/>
        <v>3.0700000000000002E-2</v>
      </c>
      <c r="AJ151">
        <v>630370</v>
      </c>
      <c r="AK151" s="1">
        <v>2.1761266666666667E-10</v>
      </c>
      <c r="AL151" s="1">
        <v>2.1656633333333334E-10</v>
      </c>
      <c r="AM151">
        <v>3.0769999999999999E-2</v>
      </c>
      <c r="AN151" s="49">
        <f t="shared" si="364"/>
        <v>1.0031793155482207</v>
      </c>
      <c r="AO151">
        <f t="shared" si="365"/>
        <v>3.0769999999999999E-2</v>
      </c>
      <c r="AS151" s="1"/>
      <c r="AT151" s="1"/>
      <c r="AV151" s="49"/>
      <c r="BA151" s="1"/>
      <c r="BB151" s="1"/>
      <c r="BD151" s="49"/>
    </row>
    <row r="152" spans="2:56" x14ac:dyDescent="0.25">
      <c r="B152">
        <v>635370</v>
      </c>
      <c r="C152" s="1">
        <v>1.46297E-10</v>
      </c>
      <c r="D152" s="1">
        <v>1.4619966666666668E-10</v>
      </c>
      <c r="E152">
        <v>3.2009999999999997E-2</v>
      </c>
      <c r="F152" s="49">
        <f t="shared" si="366"/>
        <v>0.67441903348192689</v>
      </c>
      <c r="G152" s="1">
        <f t="shared" si="360"/>
        <v>0.6844190334819269</v>
      </c>
      <c r="H152">
        <f t="shared" si="359"/>
        <v>3.2009999999999997E-2</v>
      </c>
      <c r="I152">
        <f t="shared" si="361"/>
        <v>3.3509999999999998E-2</v>
      </c>
      <c r="K152">
        <v>635370</v>
      </c>
      <c r="L152" s="1">
        <v>9.4349633333333344E-11</v>
      </c>
      <c r="M152" s="1">
        <v>9.4304833333333332E-11</v>
      </c>
      <c r="N152">
        <v>2.6800000000000001E-2</v>
      </c>
      <c r="O152" s="1">
        <f t="shared" si="367"/>
        <v>0.43494527243922199</v>
      </c>
      <c r="P152" s="1">
        <f t="shared" si="362"/>
        <v>0.44494527243922199</v>
      </c>
      <c r="Q152">
        <f t="shared" si="368"/>
        <v>2.6800000000000001E-2</v>
      </c>
      <c r="R152">
        <f t="shared" si="363"/>
        <v>2.6950000000000002E-2</v>
      </c>
      <c r="T152">
        <v>635370</v>
      </c>
      <c r="U152" s="1">
        <v>9.2748599999999996E-11</v>
      </c>
      <c r="V152" s="1">
        <v>9.2707800000000005E-11</v>
      </c>
      <c r="W152">
        <v>2.6550000000000001E-2</v>
      </c>
      <c r="X152" s="1">
        <f t="shared" si="369"/>
        <v>0.42756461970376586</v>
      </c>
      <c r="Y152">
        <f t="shared" si="370"/>
        <v>2.6550000000000001E-2</v>
      </c>
      <c r="AB152">
        <v>635370</v>
      </c>
      <c r="AC152" s="1">
        <v>1.4384199999999998E-10</v>
      </c>
      <c r="AD152" s="1">
        <v>1.4374233333333332E-10</v>
      </c>
      <c r="AE152">
        <v>3.0800000000000001E-2</v>
      </c>
      <c r="AF152" s="49">
        <f t="shared" si="371"/>
        <v>0.66310165358214657</v>
      </c>
      <c r="AG152">
        <f t="shared" si="372"/>
        <v>3.0800000000000001E-2</v>
      </c>
      <c r="AJ152">
        <v>635370</v>
      </c>
      <c r="AK152" s="1">
        <v>2.1748366666666665E-10</v>
      </c>
      <c r="AL152" s="1">
        <v>2.1643633333333334E-10</v>
      </c>
      <c r="AM152">
        <v>3.0859999999999999E-2</v>
      </c>
      <c r="AN152" s="49">
        <f t="shared" si="364"/>
        <v>1.002584634486277</v>
      </c>
      <c r="AO152">
        <f t="shared" si="365"/>
        <v>3.0859999999999999E-2</v>
      </c>
      <c r="AS152" s="1"/>
      <c r="AT152" s="1"/>
      <c r="AV152" s="49"/>
      <c r="BA152" s="1"/>
      <c r="BB152" s="1"/>
      <c r="BD152" s="49"/>
    </row>
    <row r="153" spans="2:56" x14ac:dyDescent="0.25">
      <c r="B153">
        <v>640360</v>
      </c>
      <c r="C153" s="1">
        <v>1.4628299999999998E-10</v>
      </c>
      <c r="D153" s="1">
        <v>1.4618500000000002E-10</v>
      </c>
      <c r="E153">
        <v>3.2120000000000003E-2</v>
      </c>
      <c r="F153" s="49">
        <f t="shared" si="366"/>
        <v>0.67435449445194839</v>
      </c>
      <c r="G153" s="1">
        <f t="shared" si="360"/>
        <v>0.6843544944519484</v>
      </c>
      <c r="H153">
        <f t="shared" ref="H153:H216" si="373">E153</f>
        <v>3.2120000000000003E-2</v>
      </c>
      <c r="I153">
        <f t="shared" si="361"/>
        <v>3.3620000000000004E-2</v>
      </c>
      <c r="K153">
        <v>640360</v>
      </c>
      <c r="L153" s="1">
        <v>9.4342533333333342E-11</v>
      </c>
      <c r="M153" s="1">
        <v>9.4297366666666659E-11</v>
      </c>
      <c r="N153">
        <v>2.6890000000000001E-2</v>
      </c>
      <c r="O153" s="1">
        <f t="shared" si="367"/>
        <v>0.43491254193116152</v>
      </c>
      <c r="P153" s="1">
        <f t="shared" si="362"/>
        <v>0.44491254193116153</v>
      </c>
      <c r="Q153">
        <f t="shared" si="368"/>
        <v>2.6890000000000001E-2</v>
      </c>
      <c r="R153">
        <f t="shared" si="363"/>
        <v>2.7040000000000002E-2</v>
      </c>
      <c r="T153">
        <v>640360</v>
      </c>
      <c r="U153" s="1">
        <v>9.2739466666666664E-11</v>
      </c>
      <c r="V153" s="1">
        <v>9.2698466666666661E-11</v>
      </c>
      <c r="W153">
        <v>2.664E-2</v>
      </c>
      <c r="X153" s="1">
        <f t="shared" si="369"/>
        <v>0.42752251566992283</v>
      </c>
      <c r="Y153">
        <f t="shared" si="370"/>
        <v>2.664E-2</v>
      </c>
      <c r="AB153">
        <v>640360</v>
      </c>
      <c r="AC153" s="1">
        <v>1.4382666666666669E-10</v>
      </c>
      <c r="AD153" s="1">
        <v>1.4372633333333334E-10</v>
      </c>
      <c r="AE153">
        <v>3.0890000000000001E-2</v>
      </c>
      <c r="AF153" s="49">
        <f t="shared" si="371"/>
        <v>0.66303096797788474</v>
      </c>
      <c r="AG153">
        <f t="shared" si="372"/>
        <v>3.0890000000000001E-2</v>
      </c>
      <c r="AJ153">
        <v>640360</v>
      </c>
      <c r="AK153" s="1">
        <v>2.1720600000000001E-10</v>
      </c>
      <c r="AL153" s="1">
        <v>2.1615866666666665E-10</v>
      </c>
      <c r="AM153">
        <v>3.0949999999999998E-2</v>
      </c>
      <c r="AN153" s="49">
        <f t="shared" si="364"/>
        <v>1.001304610391706</v>
      </c>
      <c r="AO153">
        <f t="shared" si="365"/>
        <v>3.0949999999999998E-2</v>
      </c>
      <c r="AS153" s="1"/>
      <c r="AT153" s="1"/>
      <c r="AV153" s="49"/>
      <c r="BA153" s="1"/>
      <c r="BB153" s="1"/>
      <c r="BD153" s="49"/>
    </row>
    <row r="154" spans="2:56" x14ac:dyDescent="0.25">
      <c r="B154">
        <v>645360</v>
      </c>
      <c r="C154" s="1">
        <v>1.4626733333333332E-10</v>
      </c>
      <c r="D154" s="1">
        <v>1.4616899999999999E-10</v>
      </c>
      <c r="E154">
        <v>3.2210000000000003E-2</v>
      </c>
      <c r="F154" s="49">
        <f t="shared" si="366"/>
        <v>0.67428227220411541</v>
      </c>
      <c r="G154" s="1">
        <f t="shared" ref="G154:G217" si="374">F154+0.01</f>
        <v>0.68428227220411542</v>
      </c>
      <c r="H154">
        <f t="shared" si="373"/>
        <v>3.2210000000000003E-2</v>
      </c>
      <c r="I154">
        <f t="shared" ref="I154:I217" si="375">H154+0.0015</f>
        <v>3.3710000000000004E-2</v>
      </c>
      <c r="K154">
        <v>645360</v>
      </c>
      <c r="L154" s="1">
        <v>9.4336266666666677E-11</v>
      </c>
      <c r="M154" s="1">
        <v>9.4290700000000008E-11</v>
      </c>
      <c r="N154">
        <v>2.6970000000000001E-2</v>
      </c>
      <c r="O154" s="1">
        <f t="shared" si="367"/>
        <v>0.43488365303202836</v>
      </c>
      <c r="P154" s="1">
        <f t="shared" ref="P154:P217" si="376">O154+0.01</f>
        <v>0.44488365303202837</v>
      </c>
      <c r="Q154">
        <f t="shared" si="368"/>
        <v>2.6970000000000001E-2</v>
      </c>
      <c r="R154">
        <f t="shared" ref="R154:R217" si="377">Q154+0.00015</f>
        <v>2.7120000000000002E-2</v>
      </c>
      <c r="T154">
        <v>645360</v>
      </c>
      <c r="U154" s="1">
        <v>9.2730566666666657E-11</v>
      </c>
      <c r="V154" s="1">
        <v>9.2689300000000002E-11</v>
      </c>
      <c r="W154">
        <v>2.673E-2</v>
      </c>
      <c r="X154" s="1">
        <f t="shared" si="369"/>
        <v>0.42748148728657942</v>
      </c>
      <c r="Y154">
        <f t="shared" si="370"/>
        <v>2.673E-2</v>
      </c>
      <c r="AB154">
        <v>645360</v>
      </c>
      <c r="AC154" s="1">
        <v>1.4381333333333334E-10</v>
      </c>
      <c r="AD154" s="1">
        <v>1.4371266666666667E-10</v>
      </c>
      <c r="AE154">
        <v>3.0980000000000001E-2</v>
      </c>
      <c r="AF154" s="49">
        <f t="shared" si="371"/>
        <v>0.66296950223504802</v>
      </c>
      <c r="AG154">
        <f t="shared" si="372"/>
        <v>3.0980000000000001E-2</v>
      </c>
      <c r="AJ154">
        <v>645360</v>
      </c>
      <c r="AK154" s="1">
        <v>2.1698500000000003E-10</v>
      </c>
      <c r="AL154" s="1">
        <v>2.1593733333333333E-10</v>
      </c>
      <c r="AM154">
        <v>3.1040000000000002E-2</v>
      </c>
      <c r="AN154" s="49">
        <f t="shared" ref="AN154:AN217" si="378">(AK154*AI$9)/(AI$12*AI$5)</f>
        <v>1.0002858157041901</v>
      </c>
      <c r="AO154">
        <f t="shared" si="365"/>
        <v>3.1040000000000002E-2</v>
      </c>
      <c r="AS154" s="1"/>
      <c r="AT154" s="1"/>
      <c r="AV154" s="49"/>
      <c r="BA154" s="1"/>
      <c r="BB154" s="1"/>
      <c r="BD154" s="49"/>
    </row>
    <row r="155" spans="2:56" x14ac:dyDescent="0.25">
      <c r="B155">
        <v>650350</v>
      </c>
      <c r="C155" s="1">
        <v>1.4625433333333331E-10</v>
      </c>
      <c r="D155" s="1">
        <v>1.46155E-10</v>
      </c>
      <c r="E155">
        <v>3.2320000000000002E-2</v>
      </c>
      <c r="F155" s="49">
        <f t="shared" si="366"/>
        <v>0.67422234310484974</v>
      </c>
      <c r="G155" s="1">
        <f t="shared" si="374"/>
        <v>0.68422234310484975</v>
      </c>
      <c r="H155">
        <f t="shared" si="373"/>
        <v>3.2320000000000002E-2</v>
      </c>
      <c r="I155">
        <f t="shared" si="375"/>
        <v>3.3820000000000003E-2</v>
      </c>
      <c r="K155">
        <v>650350</v>
      </c>
      <c r="L155" s="1">
        <v>9.4327133333333345E-11</v>
      </c>
      <c r="M155" s="1">
        <v>9.4281500000000009E-11</v>
      </c>
      <c r="N155">
        <v>2.7040000000000002E-2</v>
      </c>
      <c r="O155" s="1">
        <f t="shared" si="367"/>
        <v>0.43484154899818528</v>
      </c>
      <c r="P155" s="1">
        <f t="shared" si="376"/>
        <v>0.44484154899818529</v>
      </c>
      <c r="Q155">
        <f t="shared" si="368"/>
        <v>2.7040000000000002E-2</v>
      </c>
      <c r="R155">
        <f t="shared" si="377"/>
        <v>2.7190000000000002E-2</v>
      </c>
      <c r="T155">
        <v>650350</v>
      </c>
      <c r="U155" s="1">
        <v>9.2721633333333337E-11</v>
      </c>
      <c r="V155" s="1">
        <v>9.2680100000000003E-11</v>
      </c>
      <c r="W155">
        <v>2.6800000000000001E-2</v>
      </c>
      <c r="X155" s="1">
        <f t="shared" si="369"/>
        <v>0.42744030523887899</v>
      </c>
      <c r="Y155">
        <f t="shared" si="370"/>
        <v>2.6800000000000001E-2</v>
      </c>
      <c r="AB155">
        <v>650350</v>
      </c>
      <c r="AC155" s="1">
        <v>1.4379333333333335E-10</v>
      </c>
      <c r="AD155" s="1">
        <v>1.4369233333333333E-10</v>
      </c>
      <c r="AE155">
        <v>3.109E-2</v>
      </c>
      <c r="AF155" s="49">
        <f t="shared" si="371"/>
        <v>0.66287730362079345</v>
      </c>
      <c r="AG155">
        <f t="shared" si="372"/>
        <v>3.109E-2</v>
      </c>
      <c r="AJ155">
        <v>650350</v>
      </c>
      <c r="AK155" s="1">
        <v>2.1682666666666667E-10</v>
      </c>
      <c r="AL155" s="1">
        <v>2.1577866666666668E-10</v>
      </c>
      <c r="AM155">
        <v>3.1140000000000001E-2</v>
      </c>
      <c r="AN155" s="49">
        <f t="shared" si="378"/>
        <v>0.99955591000800603</v>
      </c>
      <c r="AO155">
        <f t="shared" ref="AO155:AO218" si="379">AM155</f>
        <v>3.1140000000000001E-2</v>
      </c>
      <c r="AS155" s="1"/>
      <c r="AT155" s="1"/>
      <c r="AV155" s="49"/>
      <c r="BA155" s="1"/>
      <c r="BB155" s="1"/>
      <c r="BD155" s="49"/>
    </row>
    <row r="156" spans="2:56" x14ac:dyDescent="0.25">
      <c r="B156">
        <v>655350</v>
      </c>
      <c r="C156" s="1">
        <v>1.4624133333333336E-10</v>
      </c>
      <c r="D156" s="1">
        <v>1.4614133333333333E-10</v>
      </c>
      <c r="E156">
        <v>3.2419999999999997E-2</v>
      </c>
      <c r="F156" s="49">
        <f t="shared" si="366"/>
        <v>0.67416241400558441</v>
      </c>
      <c r="G156" s="1">
        <f t="shared" si="374"/>
        <v>0.68416241400558442</v>
      </c>
      <c r="H156">
        <f t="shared" si="373"/>
        <v>3.2419999999999997E-2</v>
      </c>
      <c r="I156">
        <f t="shared" si="375"/>
        <v>3.3919999999999999E-2</v>
      </c>
      <c r="K156">
        <v>655350</v>
      </c>
      <c r="L156" s="1">
        <v>9.431566666666665E-11</v>
      </c>
      <c r="M156" s="1">
        <v>9.4270000000000014E-11</v>
      </c>
      <c r="N156">
        <v>2.7130000000000001E-2</v>
      </c>
      <c r="O156" s="1">
        <f t="shared" si="367"/>
        <v>0.43478868845934576</v>
      </c>
      <c r="P156" s="1">
        <f t="shared" si="376"/>
        <v>0.44478868845934577</v>
      </c>
      <c r="Q156">
        <f t="shared" si="368"/>
        <v>2.7130000000000001E-2</v>
      </c>
      <c r="R156">
        <f t="shared" si="377"/>
        <v>2.7280000000000002E-2</v>
      </c>
      <c r="T156">
        <v>655350</v>
      </c>
      <c r="U156" s="1">
        <v>9.271273333333333E-11</v>
      </c>
      <c r="V156" s="1">
        <v>9.267100000000001E-11</v>
      </c>
      <c r="W156">
        <v>2.6880000000000001E-2</v>
      </c>
      <c r="X156" s="1">
        <f t="shared" si="369"/>
        <v>0.42739927685553558</v>
      </c>
      <c r="Y156">
        <f t="shared" si="370"/>
        <v>2.6880000000000001E-2</v>
      </c>
      <c r="AB156">
        <v>655350</v>
      </c>
      <c r="AC156" s="1">
        <v>1.4378133333333335E-10</v>
      </c>
      <c r="AD156" s="1">
        <v>1.4367900000000001E-10</v>
      </c>
      <c r="AE156">
        <v>3.117E-2</v>
      </c>
      <c r="AF156" s="49">
        <f t="shared" si="371"/>
        <v>0.66282198445224039</v>
      </c>
      <c r="AG156">
        <f t="shared" si="372"/>
        <v>3.117E-2</v>
      </c>
      <c r="AJ156">
        <v>655350</v>
      </c>
      <c r="AK156" s="1">
        <v>2.1671166666666669E-10</v>
      </c>
      <c r="AL156" s="1">
        <v>2.15662E-10</v>
      </c>
      <c r="AM156">
        <v>3.1220000000000001E-2</v>
      </c>
      <c r="AN156" s="49">
        <f t="shared" si="378"/>
        <v>0.99902576797604092</v>
      </c>
      <c r="AO156">
        <f t="shared" si="379"/>
        <v>3.1220000000000001E-2</v>
      </c>
      <c r="AS156" s="1"/>
      <c r="AT156" s="1"/>
      <c r="AV156" s="49"/>
      <c r="BA156" s="1"/>
      <c r="BB156" s="1"/>
      <c r="BD156" s="49"/>
    </row>
    <row r="157" spans="2:56" x14ac:dyDescent="0.25">
      <c r="B157">
        <v>660340</v>
      </c>
      <c r="C157" s="1">
        <v>1.4623066666666666E-10</v>
      </c>
      <c r="D157" s="1">
        <v>1.4613033333333334E-10</v>
      </c>
      <c r="E157">
        <v>3.2530000000000003E-2</v>
      </c>
      <c r="F157" s="49">
        <f t="shared" si="366"/>
        <v>0.67411324141131501</v>
      </c>
      <c r="G157" s="1">
        <f t="shared" si="374"/>
        <v>0.68411324141131502</v>
      </c>
      <c r="H157">
        <f t="shared" si="373"/>
        <v>3.2530000000000003E-2</v>
      </c>
      <c r="I157">
        <f t="shared" si="375"/>
        <v>3.4030000000000005E-2</v>
      </c>
      <c r="K157">
        <v>660340</v>
      </c>
      <c r="L157" s="1">
        <v>9.4308066666666658E-11</v>
      </c>
      <c r="M157" s="1">
        <v>9.4261700000000005E-11</v>
      </c>
      <c r="N157">
        <v>2.7199999999999998E-2</v>
      </c>
      <c r="O157" s="1">
        <f t="shared" si="367"/>
        <v>0.434753652985929</v>
      </c>
      <c r="P157" s="1">
        <f t="shared" si="376"/>
        <v>0.444753652985929</v>
      </c>
      <c r="Q157">
        <f t="shared" si="368"/>
        <v>2.7199999999999998E-2</v>
      </c>
      <c r="R157">
        <f t="shared" si="377"/>
        <v>2.7349999999999999E-2</v>
      </c>
      <c r="T157">
        <v>660340</v>
      </c>
      <c r="U157" s="1">
        <v>9.2702833333333341E-11</v>
      </c>
      <c r="V157" s="1">
        <v>9.2660800000000003E-11</v>
      </c>
      <c r="W157">
        <v>2.6970000000000001E-2</v>
      </c>
      <c r="X157" s="1">
        <f t="shared" si="369"/>
        <v>0.42735363854147951</v>
      </c>
      <c r="Y157">
        <f t="shared" si="370"/>
        <v>2.6970000000000001E-2</v>
      </c>
      <c r="AB157">
        <v>660340</v>
      </c>
      <c r="AC157" s="1">
        <v>1.4376333333333332E-10</v>
      </c>
      <c r="AD157" s="1">
        <v>1.4366100000000001E-10</v>
      </c>
      <c r="AE157">
        <v>3.1280000000000002E-2</v>
      </c>
      <c r="AF157" s="49">
        <f t="shared" si="371"/>
        <v>0.66273900569941102</v>
      </c>
      <c r="AG157">
        <f t="shared" si="372"/>
        <v>3.1280000000000002E-2</v>
      </c>
      <c r="AJ157">
        <v>660340</v>
      </c>
      <c r="AK157" s="1">
        <v>2.1660666666666667E-10</v>
      </c>
      <c r="AL157" s="1">
        <v>2.155556666666667E-10</v>
      </c>
      <c r="AM157">
        <v>3.1309999999999998E-2</v>
      </c>
      <c r="AN157" s="49">
        <f t="shared" si="378"/>
        <v>0.99854172525120299</v>
      </c>
      <c r="AO157">
        <f t="shared" si="379"/>
        <v>3.1309999999999998E-2</v>
      </c>
      <c r="AS157" s="1"/>
      <c r="AT157" s="1"/>
      <c r="AV157" s="49"/>
      <c r="BA157" s="1"/>
      <c r="BB157" s="1"/>
      <c r="BD157" s="49"/>
    </row>
    <row r="158" spans="2:56" x14ac:dyDescent="0.25">
      <c r="B158">
        <v>665340</v>
      </c>
      <c r="C158" s="1">
        <v>1.4622233333333332E-10</v>
      </c>
      <c r="D158" s="1">
        <v>1.4612099999999999E-10</v>
      </c>
      <c r="E158">
        <v>3.2629999999999999E-2</v>
      </c>
      <c r="F158" s="49">
        <f t="shared" si="366"/>
        <v>0.6740748253220421</v>
      </c>
      <c r="G158" s="1">
        <f t="shared" si="374"/>
        <v>0.68407482532204211</v>
      </c>
      <c r="H158">
        <f t="shared" si="373"/>
        <v>3.2629999999999999E-2</v>
      </c>
      <c r="I158">
        <f t="shared" si="375"/>
        <v>3.4130000000000001E-2</v>
      </c>
      <c r="K158">
        <v>665340</v>
      </c>
      <c r="L158" s="1">
        <v>9.4302533333333335E-11</v>
      </c>
      <c r="M158" s="1">
        <v>9.4256100000000003E-11</v>
      </c>
      <c r="N158">
        <v>2.7289999999999998E-2</v>
      </c>
      <c r="O158" s="1">
        <f t="shared" si="367"/>
        <v>0.43472814470265181</v>
      </c>
      <c r="P158" s="1">
        <f t="shared" si="376"/>
        <v>0.44472814470265182</v>
      </c>
      <c r="Q158">
        <f t="shared" si="368"/>
        <v>2.7289999999999998E-2</v>
      </c>
      <c r="R158">
        <f t="shared" si="377"/>
        <v>2.7439999999999999E-2</v>
      </c>
      <c r="T158">
        <v>665340</v>
      </c>
      <c r="U158" s="1">
        <v>9.2694000000000001E-11</v>
      </c>
      <c r="V158" s="1">
        <v>9.2651766666666663E-11</v>
      </c>
      <c r="W158">
        <v>2.7060000000000001E-2</v>
      </c>
      <c r="X158" s="1">
        <f t="shared" si="369"/>
        <v>0.42731291748685019</v>
      </c>
      <c r="Y158">
        <f t="shared" si="370"/>
        <v>2.7060000000000001E-2</v>
      </c>
      <c r="AB158">
        <v>665340</v>
      </c>
      <c r="AC158" s="1">
        <v>1.4374866666666667E-10</v>
      </c>
      <c r="AD158" s="1">
        <v>1.4364566666666669E-10</v>
      </c>
      <c r="AE158">
        <v>3.1359999999999999E-2</v>
      </c>
      <c r="AF158" s="49">
        <f t="shared" si="371"/>
        <v>0.66267139338229075</v>
      </c>
      <c r="AG158">
        <f t="shared" si="372"/>
        <v>3.1359999999999999E-2</v>
      </c>
      <c r="AJ158">
        <v>665340</v>
      </c>
      <c r="AK158" s="1">
        <v>2.1652166666666664E-10</v>
      </c>
      <c r="AL158" s="1">
        <v>2.1546933333333334E-10</v>
      </c>
      <c r="AM158">
        <v>3.1390000000000001E-2</v>
      </c>
      <c r="AN158" s="49">
        <f t="shared" si="378"/>
        <v>0.99814988114061975</v>
      </c>
      <c r="AO158">
        <f t="shared" si="379"/>
        <v>3.1390000000000001E-2</v>
      </c>
      <c r="AS158" s="1"/>
      <c r="AT158" s="1"/>
      <c r="AV158" s="49"/>
      <c r="BA158" s="1"/>
      <c r="BB158" s="1"/>
      <c r="BD158" s="49"/>
    </row>
    <row r="159" spans="2:56" x14ac:dyDescent="0.25">
      <c r="B159">
        <v>670330</v>
      </c>
      <c r="C159" s="1">
        <v>1.4621566666666666E-10</v>
      </c>
      <c r="D159" s="1">
        <v>1.4611399999999998E-10</v>
      </c>
      <c r="E159">
        <v>3.2730000000000002E-2</v>
      </c>
      <c r="F159" s="49">
        <f t="shared" si="366"/>
        <v>0.6740440924506238</v>
      </c>
      <c r="G159" s="1">
        <f t="shared" si="374"/>
        <v>0.68404409245062381</v>
      </c>
      <c r="H159">
        <f t="shared" si="373"/>
        <v>3.2730000000000002E-2</v>
      </c>
      <c r="I159">
        <f t="shared" si="375"/>
        <v>3.4230000000000003E-2</v>
      </c>
      <c r="K159">
        <v>670330</v>
      </c>
      <c r="L159" s="1">
        <v>9.4298766666666666E-11</v>
      </c>
      <c r="M159" s="1">
        <v>9.4251966666666662E-11</v>
      </c>
      <c r="N159">
        <v>2.7359999999999999E-2</v>
      </c>
      <c r="O159" s="1">
        <f t="shared" si="367"/>
        <v>0.4347107806303005</v>
      </c>
      <c r="P159" s="1">
        <f t="shared" si="376"/>
        <v>0.44471078063030051</v>
      </c>
      <c r="Q159">
        <f t="shared" si="368"/>
        <v>2.7359999999999999E-2</v>
      </c>
      <c r="R159">
        <f t="shared" si="377"/>
        <v>2.751E-2</v>
      </c>
      <c r="T159">
        <v>670330</v>
      </c>
      <c r="U159" s="1">
        <v>9.2685333333333333E-11</v>
      </c>
      <c r="V159" s="1">
        <v>9.2642800000000003E-11</v>
      </c>
      <c r="W159">
        <v>2.7140000000000001E-2</v>
      </c>
      <c r="X159" s="1">
        <f t="shared" si="369"/>
        <v>0.42727296475400645</v>
      </c>
      <c r="Y159">
        <f t="shared" si="370"/>
        <v>2.7140000000000001E-2</v>
      </c>
      <c r="AB159">
        <v>670330</v>
      </c>
      <c r="AC159" s="1">
        <v>1.4373100000000001E-10</v>
      </c>
      <c r="AD159" s="1">
        <v>1.4362766666666666E-10</v>
      </c>
      <c r="AE159">
        <v>3.1460000000000002E-2</v>
      </c>
      <c r="AF159" s="49">
        <f t="shared" si="371"/>
        <v>0.66258995127303244</v>
      </c>
      <c r="AG159">
        <f t="shared" si="372"/>
        <v>3.1460000000000002E-2</v>
      </c>
      <c r="AJ159">
        <v>670330</v>
      </c>
      <c r="AK159" s="1">
        <v>2.1647333333333335E-10</v>
      </c>
      <c r="AL159" s="1">
        <v>2.1541866666666666E-10</v>
      </c>
      <c r="AM159">
        <v>3.1460000000000002E-2</v>
      </c>
      <c r="AN159" s="49">
        <f t="shared" si="378"/>
        <v>0.99792706782283735</v>
      </c>
      <c r="AO159">
        <f t="shared" si="379"/>
        <v>3.1460000000000002E-2</v>
      </c>
      <c r="AS159" s="1"/>
      <c r="AT159" s="1"/>
      <c r="AV159" s="49"/>
      <c r="BA159" s="1"/>
      <c r="BB159" s="1"/>
      <c r="BD159" s="49"/>
    </row>
    <row r="160" spans="2:56" x14ac:dyDescent="0.25">
      <c r="B160">
        <v>675330</v>
      </c>
      <c r="C160" s="1">
        <v>1.46209E-10</v>
      </c>
      <c r="D160" s="1">
        <v>1.4610666666666666E-10</v>
      </c>
      <c r="E160">
        <v>3.2849999999999997E-2</v>
      </c>
      <c r="F160" s="49">
        <f t="shared" si="366"/>
        <v>0.6740133595792055</v>
      </c>
      <c r="G160" s="1">
        <f t="shared" si="374"/>
        <v>0.6840133595792055</v>
      </c>
      <c r="H160">
        <f t="shared" si="373"/>
        <v>3.2849999999999997E-2</v>
      </c>
      <c r="I160">
        <f t="shared" si="375"/>
        <v>3.4349999999999999E-2</v>
      </c>
      <c r="K160">
        <v>675330</v>
      </c>
      <c r="L160" s="1">
        <v>9.4293600000000002E-11</v>
      </c>
      <c r="M160" s="1">
        <v>9.4246433333333327E-11</v>
      </c>
      <c r="N160">
        <v>2.7439999999999999E-2</v>
      </c>
      <c r="O160" s="1">
        <f t="shared" si="367"/>
        <v>0.43468696265495133</v>
      </c>
      <c r="P160" s="1">
        <f t="shared" si="376"/>
        <v>0.44468696265495133</v>
      </c>
      <c r="Q160">
        <f t="shared" si="368"/>
        <v>2.7439999999999999E-2</v>
      </c>
      <c r="R160">
        <f t="shared" si="377"/>
        <v>2.759E-2</v>
      </c>
      <c r="T160">
        <v>675330</v>
      </c>
      <c r="U160" s="1">
        <v>9.2676400000000013E-11</v>
      </c>
      <c r="V160" s="1">
        <v>9.2633633333333344E-11</v>
      </c>
      <c r="W160">
        <v>2.7220000000000001E-2</v>
      </c>
      <c r="X160" s="1">
        <f t="shared" si="369"/>
        <v>0.42723178270630602</v>
      </c>
      <c r="Y160">
        <f t="shared" si="370"/>
        <v>2.7220000000000001E-2</v>
      </c>
      <c r="AB160">
        <v>675330</v>
      </c>
      <c r="AC160" s="1">
        <v>1.4371566666666667E-10</v>
      </c>
      <c r="AD160" s="1">
        <v>1.4361166666666666E-10</v>
      </c>
      <c r="AE160">
        <v>3.1559999999999998E-2</v>
      </c>
      <c r="AF160" s="49">
        <f t="shared" si="371"/>
        <v>0.6625192656687704</v>
      </c>
      <c r="AG160">
        <f t="shared" si="372"/>
        <v>3.1559999999999998E-2</v>
      </c>
      <c r="AJ160">
        <v>675330</v>
      </c>
      <c r="AK160" s="1">
        <v>2.1642966666666668E-10</v>
      </c>
      <c r="AL160" s="1">
        <v>2.1537333333333335E-10</v>
      </c>
      <c r="AM160">
        <v>3.1559999999999998E-2</v>
      </c>
      <c r="AN160" s="49">
        <f t="shared" si="378"/>
        <v>0.99772576751504771</v>
      </c>
      <c r="AO160">
        <f t="shared" si="379"/>
        <v>3.1559999999999998E-2</v>
      </c>
      <c r="AS160" s="1"/>
      <c r="AT160" s="1"/>
      <c r="AV160" s="49"/>
      <c r="BA160" s="1"/>
      <c r="BB160" s="1"/>
      <c r="BD160" s="49"/>
    </row>
    <row r="161" spans="2:56" x14ac:dyDescent="0.25">
      <c r="B161">
        <v>680320</v>
      </c>
      <c r="C161" s="1">
        <v>1.46203E-10</v>
      </c>
      <c r="D161" s="1">
        <v>1.4610000000000002E-10</v>
      </c>
      <c r="E161">
        <v>3.295E-2</v>
      </c>
      <c r="F161" s="49">
        <f t="shared" si="366"/>
        <v>0.67398569999492908</v>
      </c>
      <c r="G161" s="1">
        <f t="shared" si="374"/>
        <v>0.68398569999492909</v>
      </c>
      <c r="H161">
        <f t="shared" si="373"/>
        <v>3.295E-2</v>
      </c>
      <c r="I161">
        <f t="shared" si="375"/>
        <v>3.4450000000000001E-2</v>
      </c>
      <c r="K161">
        <v>680320</v>
      </c>
      <c r="L161" s="1">
        <v>9.4288833333333337E-11</v>
      </c>
      <c r="M161" s="1">
        <v>9.4241600000000008E-11</v>
      </c>
      <c r="N161">
        <v>2.7519999999999999E-2</v>
      </c>
      <c r="O161" s="1">
        <f t="shared" si="367"/>
        <v>0.4346649886518873</v>
      </c>
      <c r="P161" s="1">
        <f t="shared" si="376"/>
        <v>0.44466498865188731</v>
      </c>
      <c r="Q161">
        <f t="shared" si="368"/>
        <v>2.7519999999999999E-2</v>
      </c>
      <c r="R161">
        <f t="shared" si="377"/>
        <v>2.767E-2</v>
      </c>
      <c r="T161">
        <v>680320</v>
      </c>
      <c r="U161" s="1">
        <v>9.2667099999999995E-11</v>
      </c>
      <c r="V161" s="1">
        <v>9.2624100000000001E-11</v>
      </c>
      <c r="W161">
        <v>2.7310000000000001E-2</v>
      </c>
      <c r="X161" s="1">
        <f t="shared" si="369"/>
        <v>0.42718891035067746</v>
      </c>
      <c r="Y161">
        <f t="shared" si="370"/>
        <v>2.7310000000000001E-2</v>
      </c>
      <c r="AB161">
        <v>680320</v>
      </c>
      <c r="AC161" s="1">
        <v>1.4370099999999999E-10</v>
      </c>
      <c r="AD161" s="1">
        <v>1.4359633333333334E-10</v>
      </c>
      <c r="AE161">
        <v>3.1649999999999998E-2</v>
      </c>
      <c r="AF161" s="49">
        <f t="shared" si="371"/>
        <v>0.66245165335165013</v>
      </c>
      <c r="AG161">
        <f t="shared" si="372"/>
        <v>3.1649999999999998E-2</v>
      </c>
      <c r="AJ161">
        <v>680320</v>
      </c>
      <c r="AK161" s="1">
        <v>2.1633166666666666E-10</v>
      </c>
      <c r="AL161" s="1">
        <v>2.1527300000000002E-10</v>
      </c>
      <c r="AM161">
        <v>3.1640000000000001E-2</v>
      </c>
      <c r="AN161" s="49">
        <f t="shared" si="378"/>
        <v>0.99727399430519892</v>
      </c>
      <c r="AO161">
        <f t="shared" si="379"/>
        <v>3.1640000000000001E-2</v>
      </c>
      <c r="AS161" s="1"/>
      <c r="AT161" s="1"/>
      <c r="AV161" s="49"/>
      <c r="BA161" s="1"/>
      <c r="BB161" s="1"/>
      <c r="BD161" s="49"/>
    </row>
    <row r="162" spans="2:56" x14ac:dyDescent="0.25">
      <c r="B162">
        <v>685320</v>
      </c>
      <c r="C162" s="1">
        <v>1.4619466666666666E-10</v>
      </c>
      <c r="D162" s="1">
        <v>1.4609099999999999E-10</v>
      </c>
      <c r="E162">
        <v>3.3070000000000002E-2</v>
      </c>
      <c r="F162" s="49">
        <f t="shared" si="366"/>
        <v>0.67394728390565617</v>
      </c>
      <c r="G162" s="1">
        <f t="shared" si="374"/>
        <v>0.68394728390565618</v>
      </c>
      <c r="H162">
        <f t="shared" si="373"/>
        <v>3.3070000000000002E-2</v>
      </c>
      <c r="I162">
        <f t="shared" si="375"/>
        <v>3.4570000000000004E-2</v>
      </c>
      <c r="K162">
        <v>685320</v>
      </c>
      <c r="L162" s="1">
        <v>9.4279266666666666E-11</v>
      </c>
      <c r="M162" s="1">
        <v>9.4231333333333335E-11</v>
      </c>
      <c r="N162">
        <v>2.759E-2</v>
      </c>
      <c r="O162" s="1">
        <f t="shared" si="367"/>
        <v>0.434620886981402</v>
      </c>
      <c r="P162" s="1">
        <f t="shared" si="376"/>
        <v>0.44462088698140201</v>
      </c>
      <c r="Q162">
        <f t="shared" si="368"/>
        <v>2.759E-2</v>
      </c>
      <c r="R162">
        <f t="shared" si="377"/>
        <v>2.7740000000000001E-2</v>
      </c>
      <c r="T162">
        <v>685320</v>
      </c>
      <c r="U162" s="1">
        <v>9.2657199999999993E-11</v>
      </c>
      <c r="V162" s="1">
        <v>9.261386666666668E-11</v>
      </c>
      <c r="W162">
        <v>2.7390000000000001E-2</v>
      </c>
      <c r="X162" s="1">
        <f t="shared" si="369"/>
        <v>0.42714327203662128</v>
      </c>
      <c r="Y162">
        <f t="shared" si="370"/>
        <v>2.7390000000000001E-2</v>
      </c>
      <c r="AB162">
        <v>685320</v>
      </c>
      <c r="AC162" s="1">
        <v>1.4368533333333335E-10</v>
      </c>
      <c r="AD162" s="1">
        <v>1.4358033333333333E-10</v>
      </c>
      <c r="AE162">
        <v>3.175E-2</v>
      </c>
      <c r="AF162" s="49">
        <f t="shared" si="371"/>
        <v>0.66237943110381736</v>
      </c>
      <c r="AG162">
        <f t="shared" si="372"/>
        <v>3.175E-2</v>
      </c>
      <c r="AJ162">
        <v>685320</v>
      </c>
      <c r="AK162" s="1">
        <v>2.1624133333333335E-10</v>
      </c>
      <c r="AL162" s="1">
        <v>2.1518166666666665E-10</v>
      </c>
      <c r="AM162">
        <v>3.1730000000000001E-2</v>
      </c>
      <c r="AN162" s="49">
        <f t="shared" si="378"/>
        <v>0.99685756389748148</v>
      </c>
      <c r="AO162">
        <f t="shared" si="379"/>
        <v>3.1730000000000001E-2</v>
      </c>
      <c r="AS162" s="1"/>
      <c r="AT162" s="1"/>
      <c r="AV162" s="49"/>
      <c r="BA162" s="1"/>
      <c r="BB162" s="1"/>
      <c r="BD162" s="49"/>
    </row>
    <row r="163" spans="2:56" x14ac:dyDescent="0.25">
      <c r="B163">
        <v>690310</v>
      </c>
      <c r="C163" s="1">
        <v>1.4618633333333332E-10</v>
      </c>
      <c r="D163" s="1">
        <v>1.4608166666666665E-10</v>
      </c>
      <c r="E163">
        <v>3.3160000000000002E-2</v>
      </c>
      <c r="F163" s="49">
        <f t="shared" si="366"/>
        <v>0.67390886781638348</v>
      </c>
      <c r="G163" s="1">
        <f t="shared" si="374"/>
        <v>0.68390886781638349</v>
      </c>
      <c r="H163">
        <f t="shared" si="373"/>
        <v>3.3160000000000002E-2</v>
      </c>
      <c r="I163">
        <f t="shared" si="375"/>
        <v>3.4660000000000003E-2</v>
      </c>
      <c r="K163">
        <v>690310</v>
      </c>
      <c r="L163" s="1">
        <v>9.4269800000000002E-11</v>
      </c>
      <c r="M163" s="1">
        <v>9.4221800000000004E-11</v>
      </c>
      <c r="N163">
        <v>2.767E-2</v>
      </c>
      <c r="O163" s="1">
        <f t="shared" si="367"/>
        <v>0.43457724630398814</v>
      </c>
      <c r="P163" s="1">
        <f t="shared" si="376"/>
        <v>0.44457724630398815</v>
      </c>
      <c r="Q163">
        <f t="shared" si="368"/>
        <v>2.767E-2</v>
      </c>
      <c r="R163">
        <f t="shared" si="377"/>
        <v>2.7820000000000001E-2</v>
      </c>
      <c r="T163">
        <v>690310</v>
      </c>
      <c r="U163" s="1">
        <v>9.2648066666666673E-11</v>
      </c>
      <c r="V163" s="1">
        <v>9.2604533333333335E-11</v>
      </c>
      <c r="W163">
        <v>2.7480000000000001E-2</v>
      </c>
      <c r="X163" s="1">
        <f t="shared" si="369"/>
        <v>0.42710116800277836</v>
      </c>
      <c r="Y163">
        <f t="shared" si="370"/>
        <v>2.7480000000000001E-2</v>
      </c>
      <c r="AB163">
        <v>690310</v>
      </c>
      <c r="AC163" s="1">
        <v>1.4366766666666667E-10</v>
      </c>
      <c r="AD163" s="1">
        <v>1.4356166666666669E-10</v>
      </c>
      <c r="AE163">
        <v>3.184E-2</v>
      </c>
      <c r="AF163" s="49">
        <f t="shared" si="371"/>
        <v>0.66229798899455872</v>
      </c>
      <c r="AG163">
        <f t="shared" si="372"/>
        <v>3.184E-2</v>
      </c>
      <c r="AJ163">
        <v>690310</v>
      </c>
      <c r="AK163" s="1">
        <v>2.1616933333333335E-10</v>
      </c>
      <c r="AL163" s="1">
        <v>2.1510766666666668E-10</v>
      </c>
      <c r="AM163">
        <v>3.1829999999999997E-2</v>
      </c>
      <c r="AN163" s="49">
        <f t="shared" si="378"/>
        <v>0.99652564888616413</v>
      </c>
      <c r="AO163">
        <f t="shared" si="379"/>
        <v>3.1829999999999997E-2</v>
      </c>
      <c r="AS163" s="1"/>
      <c r="AT163" s="1"/>
      <c r="AV163" s="49"/>
      <c r="BA163" s="1"/>
      <c r="BB163" s="1"/>
      <c r="BD163" s="49"/>
    </row>
    <row r="164" spans="2:56" x14ac:dyDescent="0.25">
      <c r="B164">
        <v>695310</v>
      </c>
      <c r="C164" s="1">
        <v>1.4617799999999999E-10</v>
      </c>
      <c r="D164" s="1">
        <v>1.4607233333333335E-10</v>
      </c>
      <c r="E164">
        <v>3.3259999999999998E-2</v>
      </c>
      <c r="F164" s="49">
        <f t="shared" si="366"/>
        <v>0.67387045172711046</v>
      </c>
      <c r="G164" s="1">
        <f t="shared" si="374"/>
        <v>0.68387045172711047</v>
      </c>
      <c r="H164">
        <f t="shared" si="373"/>
        <v>3.3259999999999998E-2</v>
      </c>
      <c r="I164">
        <f t="shared" si="375"/>
        <v>3.4759999999999999E-2</v>
      </c>
      <c r="K164">
        <v>695310</v>
      </c>
      <c r="L164" s="1">
        <v>9.4262600000000008E-11</v>
      </c>
      <c r="M164" s="1">
        <v>9.421456666666667E-11</v>
      </c>
      <c r="N164">
        <v>2.775E-2</v>
      </c>
      <c r="O164" s="1">
        <f t="shared" si="367"/>
        <v>0.43454405480285641</v>
      </c>
      <c r="P164" s="1">
        <f t="shared" si="376"/>
        <v>0.44454405480285641</v>
      </c>
      <c r="Q164">
        <f t="shared" si="368"/>
        <v>2.775E-2</v>
      </c>
      <c r="R164">
        <f t="shared" si="377"/>
        <v>2.7900000000000001E-2</v>
      </c>
      <c r="T164">
        <v>695310</v>
      </c>
      <c r="U164" s="1">
        <v>9.2639733333333337E-11</v>
      </c>
      <c r="V164" s="1">
        <v>9.2595900000000007E-11</v>
      </c>
      <c r="W164">
        <v>2.7550000000000002E-2</v>
      </c>
      <c r="X164" s="1">
        <f t="shared" si="369"/>
        <v>0.42706275191350546</v>
      </c>
      <c r="Y164">
        <f t="shared" si="370"/>
        <v>2.7550000000000002E-2</v>
      </c>
      <c r="AB164">
        <v>695310</v>
      </c>
      <c r="AC164" s="1">
        <v>1.4365633333333333E-10</v>
      </c>
      <c r="AD164" s="1">
        <v>1.4354966666666667E-10</v>
      </c>
      <c r="AE164">
        <v>3.1949999999999999E-2</v>
      </c>
      <c r="AF164" s="49">
        <f t="shared" si="371"/>
        <v>0.66224574311314777</v>
      </c>
      <c r="AG164">
        <f t="shared" si="372"/>
        <v>3.1949999999999999E-2</v>
      </c>
      <c r="AJ164">
        <v>695310</v>
      </c>
      <c r="AK164" s="1">
        <v>2.1610599999999998E-10</v>
      </c>
      <c r="AL164" s="1">
        <v>2.1504233333333332E-10</v>
      </c>
      <c r="AM164">
        <v>3.1910000000000001E-2</v>
      </c>
      <c r="AN164" s="49">
        <f t="shared" si="378"/>
        <v>0.99623368660769018</v>
      </c>
      <c r="AO164">
        <f t="shared" si="379"/>
        <v>3.1910000000000001E-2</v>
      </c>
      <c r="AS164" s="1"/>
      <c r="AT164" s="1"/>
      <c r="AV164" s="49"/>
      <c r="BA164" s="1"/>
      <c r="BB164" s="1"/>
      <c r="BD164" s="49"/>
    </row>
    <row r="165" spans="2:56" x14ac:dyDescent="0.25">
      <c r="B165">
        <v>700300</v>
      </c>
      <c r="C165" s="1">
        <v>1.4618433333333333E-10</v>
      </c>
      <c r="D165" s="1">
        <v>1.4607833333333333E-10</v>
      </c>
      <c r="E165">
        <v>3.338E-2</v>
      </c>
      <c r="F165" s="49">
        <f t="shared" si="366"/>
        <v>0.67389964795495805</v>
      </c>
      <c r="G165" s="1">
        <f t="shared" si="374"/>
        <v>0.68389964795495806</v>
      </c>
      <c r="H165">
        <f t="shared" si="373"/>
        <v>3.338E-2</v>
      </c>
      <c r="I165">
        <f t="shared" si="375"/>
        <v>3.4880000000000001E-2</v>
      </c>
      <c r="K165">
        <v>700300</v>
      </c>
      <c r="L165" s="1">
        <v>9.4266200000000005E-11</v>
      </c>
      <c r="M165" s="1">
        <v>9.4217766666666656E-11</v>
      </c>
      <c r="N165">
        <v>2.784E-2</v>
      </c>
      <c r="O165" s="1">
        <f t="shared" si="367"/>
        <v>0.43456065055342225</v>
      </c>
      <c r="P165" s="1">
        <f t="shared" si="376"/>
        <v>0.44456065055342225</v>
      </c>
      <c r="Q165">
        <f t="shared" si="368"/>
        <v>2.784E-2</v>
      </c>
      <c r="R165">
        <f t="shared" si="377"/>
        <v>2.7990000000000001E-2</v>
      </c>
      <c r="T165">
        <v>700300</v>
      </c>
      <c r="U165" s="1">
        <v>9.2639966666666676E-11</v>
      </c>
      <c r="V165" s="1">
        <v>9.2595866666666667E-11</v>
      </c>
      <c r="W165">
        <v>2.7650000000000001E-2</v>
      </c>
      <c r="X165" s="1">
        <f t="shared" si="369"/>
        <v>0.42706382756400513</v>
      </c>
      <c r="Y165">
        <f t="shared" si="370"/>
        <v>2.7650000000000001E-2</v>
      </c>
      <c r="AB165">
        <v>700300</v>
      </c>
      <c r="AC165" s="1">
        <v>1.43654E-10</v>
      </c>
      <c r="AD165" s="1">
        <v>1.4354699999999999E-10</v>
      </c>
      <c r="AE165">
        <v>3.2030000000000003E-2</v>
      </c>
      <c r="AF165" s="49">
        <f t="shared" si="371"/>
        <v>0.66223498660815128</v>
      </c>
      <c r="AG165">
        <f t="shared" si="372"/>
        <v>3.2030000000000003E-2</v>
      </c>
      <c r="AJ165">
        <v>700300</v>
      </c>
      <c r="AK165" s="1">
        <v>2.1607866666666666E-10</v>
      </c>
      <c r="AL165" s="1">
        <v>2.150126666666667E-10</v>
      </c>
      <c r="AM165">
        <v>3.2009999999999997E-2</v>
      </c>
      <c r="AN165" s="49">
        <f t="shared" si="378"/>
        <v>0.99610768183487541</v>
      </c>
      <c r="AO165">
        <f t="shared" si="379"/>
        <v>3.2009999999999997E-2</v>
      </c>
      <c r="AS165" s="1"/>
      <c r="AT165" s="1"/>
      <c r="AV165" s="49"/>
      <c r="BA165" s="1"/>
      <c r="BB165" s="1"/>
      <c r="BD165" s="49"/>
    </row>
    <row r="166" spans="2:56" x14ac:dyDescent="0.25">
      <c r="B166">
        <v>705300</v>
      </c>
      <c r="C166" s="1">
        <v>1.46176E-10</v>
      </c>
      <c r="D166" s="1">
        <v>1.4606933333333333E-10</v>
      </c>
      <c r="E166">
        <v>3.3459999999999997E-2</v>
      </c>
      <c r="F166" s="49">
        <f t="shared" si="366"/>
        <v>0.67386123186568514</v>
      </c>
      <c r="G166" s="1">
        <f t="shared" si="374"/>
        <v>0.68386123186568515</v>
      </c>
      <c r="H166">
        <f t="shared" si="373"/>
        <v>3.3459999999999997E-2</v>
      </c>
      <c r="I166">
        <f t="shared" si="375"/>
        <v>3.4959999999999998E-2</v>
      </c>
      <c r="K166">
        <v>705300</v>
      </c>
      <c r="L166" s="1">
        <v>9.4260833333333329E-11</v>
      </c>
      <c r="M166" s="1">
        <v>9.4212033333333322E-11</v>
      </c>
      <c r="N166">
        <v>2.792E-2</v>
      </c>
      <c r="O166" s="1">
        <f t="shared" si="367"/>
        <v>0.43453591059193047</v>
      </c>
      <c r="P166" s="1">
        <f t="shared" si="376"/>
        <v>0.44453591059193048</v>
      </c>
      <c r="Q166">
        <f t="shared" si="368"/>
        <v>2.792E-2</v>
      </c>
      <c r="R166">
        <f t="shared" si="377"/>
        <v>2.8070000000000001E-2</v>
      </c>
      <c r="T166">
        <v>705300</v>
      </c>
      <c r="U166" s="1">
        <v>9.2633233333333333E-11</v>
      </c>
      <c r="V166" s="1">
        <v>9.2588833333333332E-11</v>
      </c>
      <c r="W166">
        <v>2.7730000000000001E-2</v>
      </c>
      <c r="X166" s="1">
        <f t="shared" si="369"/>
        <v>0.42703278736387262</v>
      </c>
      <c r="Y166">
        <f t="shared" si="370"/>
        <v>2.7730000000000001E-2</v>
      </c>
      <c r="AB166">
        <v>705300</v>
      </c>
      <c r="AC166" s="1">
        <v>1.4364000000000001E-10</v>
      </c>
      <c r="AD166" s="1">
        <v>1.4353233333333333E-10</v>
      </c>
      <c r="AE166">
        <v>3.211E-2</v>
      </c>
      <c r="AF166" s="49">
        <f t="shared" si="371"/>
        <v>0.662170447578173</v>
      </c>
      <c r="AG166">
        <f t="shared" si="372"/>
        <v>3.211E-2</v>
      </c>
      <c r="AJ166">
        <v>705300</v>
      </c>
      <c r="AK166" s="1">
        <v>2.1609933333333334E-10</v>
      </c>
      <c r="AL166" s="1">
        <v>2.1503133333333331E-10</v>
      </c>
      <c r="AM166">
        <v>3.2079999999999997E-2</v>
      </c>
      <c r="AN166" s="49">
        <f t="shared" si="378"/>
        <v>0.9962029537362721</v>
      </c>
      <c r="AO166">
        <f t="shared" si="379"/>
        <v>3.2079999999999997E-2</v>
      </c>
      <c r="AS166" s="1"/>
      <c r="AT166" s="1"/>
      <c r="AV166" s="49"/>
      <c r="BA166" s="1"/>
      <c r="BB166" s="1"/>
      <c r="BD166" s="49"/>
    </row>
    <row r="167" spans="2:56" x14ac:dyDescent="0.25">
      <c r="B167">
        <v>710290</v>
      </c>
      <c r="C167" s="1">
        <v>1.4616866666666667E-10</v>
      </c>
      <c r="D167" s="1">
        <v>1.4606166666666666E-10</v>
      </c>
      <c r="E167">
        <v>3.3570000000000003E-2</v>
      </c>
      <c r="F167" s="49">
        <f t="shared" si="366"/>
        <v>0.67382742570712495</v>
      </c>
      <c r="G167" s="1">
        <f t="shared" si="374"/>
        <v>0.68382742570712496</v>
      </c>
      <c r="H167">
        <f t="shared" si="373"/>
        <v>3.3570000000000003E-2</v>
      </c>
      <c r="I167">
        <f t="shared" si="375"/>
        <v>3.5070000000000004E-2</v>
      </c>
      <c r="K167">
        <v>710290</v>
      </c>
      <c r="L167" s="1">
        <v>9.4256466666666649E-11</v>
      </c>
      <c r="M167" s="1">
        <v>9.4207266666666656E-11</v>
      </c>
      <c r="N167">
        <v>2.7990000000000001E-2</v>
      </c>
      <c r="O167" s="1">
        <f t="shared" si="367"/>
        <v>0.43451578056115142</v>
      </c>
      <c r="P167" s="1">
        <f t="shared" si="376"/>
        <v>0.44451578056115143</v>
      </c>
      <c r="Q167">
        <f t="shared" si="368"/>
        <v>2.7990000000000001E-2</v>
      </c>
      <c r="R167">
        <f t="shared" si="377"/>
        <v>2.8140000000000002E-2</v>
      </c>
      <c r="T167">
        <v>710290</v>
      </c>
      <c r="U167" s="1">
        <v>9.2625899999999993E-11</v>
      </c>
      <c r="V167" s="1">
        <v>9.2581266666666666E-11</v>
      </c>
      <c r="W167">
        <v>2.7820000000000001E-2</v>
      </c>
      <c r="X167" s="1">
        <f t="shared" si="369"/>
        <v>0.42699898120531249</v>
      </c>
      <c r="Y167">
        <f t="shared" si="370"/>
        <v>2.7820000000000001E-2</v>
      </c>
      <c r="AB167">
        <v>710290</v>
      </c>
      <c r="AC167" s="1">
        <v>1.4362733333333332E-10</v>
      </c>
      <c r="AD167" s="1">
        <v>1.4351966666666667E-10</v>
      </c>
      <c r="AE167">
        <v>3.2230000000000002E-2</v>
      </c>
      <c r="AF167" s="49">
        <f t="shared" si="371"/>
        <v>0.66211205512247817</v>
      </c>
      <c r="AG167">
        <f t="shared" si="372"/>
        <v>3.2230000000000002E-2</v>
      </c>
      <c r="AJ167">
        <v>710290</v>
      </c>
      <c r="AK167" s="1">
        <v>2.1611299999999999E-10</v>
      </c>
      <c r="AL167" s="1">
        <v>2.1504233333333338E-10</v>
      </c>
      <c r="AM167">
        <v>3.2140000000000002E-2</v>
      </c>
      <c r="AN167" s="49">
        <f t="shared" si="378"/>
        <v>0.99626595612267954</v>
      </c>
      <c r="AO167">
        <f t="shared" si="379"/>
        <v>3.2140000000000002E-2</v>
      </c>
      <c r="AS167" s="1"/>
      <c r="AT167" s="1"/>
      <c r="AV167" s="49"/>
      <c r="BA167" s="1"/>
      <c r="BB167" s="1"/>
      <c r="BD167" s="49"/>
    </row>
    <row r="168" spans="2:56" x14ac:dyDescent="0.25">
      <c r="B168">
        <v>715290</v>
      </c>
      <c r="C168" s="1">
        <v>1.4616000000000002E-10</v>
      </c>
      <c r="D168" s="1">
        <v>1.4605233333333334E-10</v>
      </c>
      <c r="E168">
        <v>3.3680000000000002E-2</v>
      </c>
      <c r="F168" s="49">
        <f t="shared" si="366"/>
        <v>0.67378747297428132</v>
      </c>
      <c r="G168" s="1">
        <f t="shared" si="374"/>
        <v>0.68378747297428133</v>
      </c>
      <c r="H168">
        <f t="shared" si="373"/>
        <v>3.3680000000000002E-2</v>
      </c>
      <c r="I168">
        <f t="shared" si="375"/>
        <v>3.5180000000000003E-2</v>
      </c>
      <c r="K168">
        <v>715290</v>
      </c>
      <c r="L168" s="1">
        <v>9.4249200000000001E-11</v>
      </c>
      <c r="M168" s="1">
        <v>9.4199299999999992E-11</v>
      </c>
      <c r="N168">
        <v>2.8080000000000001E-2</v>
      </c>
      <c r="O168" s="1">
        <f t="shared" si="367"/>
        <v>0.4344822817313056</v>
      </c>
      <c r="P168" s="1">
        <f t="shared" si="376"/>
        <v>0.44448228173130561</v>
      </c>
      <c r="Q168">
        <f t="shared" si="368"/>
        <v>2.8080000000000001E-2</v>
      </c>
      <c r="R168">
        <f t="shared" si="377"/>
        <v>2.8230000000000002E-2</v>
      </c>
      <c r="T168">
        <v>715290</v>
      </c>
      <c r="U168" s="1">
        <v>9.2618366666666666E-11</v>
      </c>
      <c r="V168" s="1">
        <v>9.2573366666666655E-11</v>
      </c>
      <c r="W168">
        <v>2.7900000000000001E-2</v>
      </c>
      <c r="X168" s="1">
        <f t="shared" si="369"/>
        <v>0.42696425306060987</v>
      </c>
      <c r="Y168">
        <f t="shared" si="370"/>
        <v>2.7900000000000001E-2</v>
      </c>
      <c r="AB168">
        <v>715290</v>
      </c>
      <c r="AC168" s="1">
        <v>1.4361300000000001E-10</v>
      </c>
      <c r="AD168" s="1">
        <v>1.4350433333333332E-10</v>
      </c>
      <c r="AE168">
        <v>3.2309999999999998E-2</v>
      </c>
      <c r="AF168" s="49">
        <f t="shared" si="371"/>
        <v>0.66204597944892907</v>
      </c>
      <c r="AG168">
        <f t="shared" si="372"/>
        <v>3.2309999999999998E-2</v>
      </c>
      <c r="AJ168">
        <v>715290</v>
      </c>
      <c r="AK168" s="1">
        <v>2.1622633333333332E-10</v>
      </c>
      <c r="AL168" s="1">
        <v>2.1515200000000002E-10</v>
      </c>
      <c r="AM168">
        <v>3.2250000000000001E-2</v>
      </c>
      <c r="AN168" s="49">
        <f t="shared" si="378"/>
        <v>0.99678841493679016</v>
      </c>
      <c r="AO168">
        <f t="shared" si="379"/>
        <v>3.2250000000000001E-2</v>
      </c>
      <c r="AS168" s="1"/>
      <c r="AT168" s="1"/>
      <c r="AV168" s="49"/>
      <c r="BA168" s="1"/>
      <c r="BB168" s="1"/>
      <c r="BD168" s="49"/>
    </row>
    <row r="169" spans="2:56" x14ac:dyDescent="0.25">
      <c r="B169">
        <v>720280</v>
      </c>
      <c r="C169" s="1">
        <v>1.4615133333333333E-10</v>
      </c>
      <c r="D169" s="1">
        <v>1.4604266666666667E-10</v>
      </c>
      <c r="E169">
        <v>3.3770000000000001E-2</v>
      </c>
      <c r="F169" s="49">
        <f t="shared" si="366"/>
        <v>0.67374752024143747</v>
      </c>
      <c r="G169" s="1">
        <f t="shared" si="374"/>
        <v>0.68374752024143748</v>
      </c>
      <c r="H169">
        <f t="shared" si="373"/>
        <v>3.3770000000000001E-2</v>
      </c>
      <c r="I169">
        <f t="shared" si="375"/>
        <v>3.5270000000000003E-2</v>
      </c>
      <c r="K169">
        <v>720280</v>
      </c>
      <c r="L169" s="1">
        <v>9.4239533333333338E-11</v>
      </c>
      <c r="M169" s="1">
        <v>9.4189566666666662E-11</v>
      </c>
      <c r="N169">
        <v>2.8139999999999998E-2</v>
      </c>
      <c r="O169" s="1">
        <f t="shared" si="367"/>
        <v>0.43443771906774908</v>
      </c>
      <c r="P169" s="1">
        <f t="shared" si="376"/>
        <v>0.44443771906774909</v>
      </c>
      <c r="Q169">
        <f t="shared" si="368"/>
        <v>2.8139999999999998E-2</v>
      </c>
      <c r="R169">
        <f t="shared" si="377"/>
        <v>2.8289999999999999E-2</v>
      </c>
      <c r="T169">
        <v>720280</v>
      </c>
      <c r="U169" s="1">
        <v>9.2609899999999985E-11</v>
      </c>
      <c r="V169" s="1">
        <v>9.2564666666666661E-11</v>
      </c>
      <c r="W169">
        <v>2.7980000000000001E-2</v>
      </c>
      <c r="X169" s="1">
        <f t="shared" si="369"/>
        <v>0.42692522231390861</v>
      </c>
      <c r="Y169">
        <f t="shared" si="370"/>
        <v>2.7980000000000001E-2</v>
      </c>
      <c r="AB169">
        <v>720280</v>
      </c>
      <c r="AC169" s="1">
        <v>1.4359899999999999E-10</v>
      </c>
      <c r="AD169" s="1">
        <v>1.4348933333333335E-10</v>
      </c>
      <c r="AE169">
        <v>3.2399999999999998E-2</v>
      </c>
      <c r="AF169" s="49">
        <f t="shared" si="371"/>
        <v>0.66198144041895046</v>
      </c>
      <c r="AG169">
        <f t="shared" si="372"/>
        <v>3.2399999999999998E-2</v>
      </c>
      <c r="AJ169">
        <v>720280</v>
      </c>
      <c r="AK169" s="1">
        <v>2.1626233333333332E-10</v>
      </c>
      <c r="AL169" s="1">
        <v>2.1521499999999999E-10</v>
      </c>
      <c r="AM169">
        <v>3.2340000000000001E-2</v>
      </c>
      <c r="AN169" s="49">
        <f t="shared" si="378"/>
        <v>0.99695437244244889</v>
      </c>
      <c r="AO169">
        <f t="shared" si="379"/>
        <v>3.2340000000000001E-2</v>
      </c>
      <c r="AS169" s="1"/>
      <c r="AT169" s="1"/>
      <c r="AV169" s="49"/>
      <c r="BA169" s="1"/>
      <c r="BB169" s="1"/>
      <c r="BD169" s="49"/>
    </row>
    <row r="170" spans="2:56" x14ac:dyDescent="0.25">
      <c r="B170">
        <v>725280</v>
      </c>
      <c r="C170" s="1">
        <v>1.4614333333333334E-10</v>
      </c>
      <c r="D170" s="1">
        <v>1.4603399999999999E-10</v>
      </c>
      <c r="E170">
        <v>3.388E-2</v>
      </c>
      <c r="F170" s="49">
        <f t="shared" si="366"/>
        <v>0.67371064079573562</v>
      </c>
      <c r="G170" s="1">
        <f t="shared" si="374"/>
        <v>0.68371064079573562</v>
      </c>
      <c r="H170">
        <f t="shared" si="373"/>
        <v>3.388E-2</v>
      </c>
      <c r="I170">
        <f t="shared" si="375"/>
        <v>3.5380000000000002E-2</v>
      </c>
      <c r="K170">
        <v>725280</v>
      </c>
      <c r="L170" s="1">
        <v>9.4234900000000005E-11</v>
      </c>
      <c r="M170" s="1">
        <v>9.4184566666666671E-11</v>
      </c>
      <c r="N170">
        <v>2.8219999999999999E-2</v>
      </c>
      <c r="O170" s="1">
        <f t="shared" si="367"/>
        <v>0.43441635972211345</v>
      </c>
      <c r="P170" s="1">
        <f t="shared" si="376"/>
        <v>0.44441635972211346</v>
      </c>
      <c r="Q170">
        <f t="shared" si="368"/>
        <v>2.8219999999999999E-2</v>
      </c>
      <c r="R170">
        <f t="shared" si="377"/>
        <v>2.8369999999999999E-2</v>
      </c>
      <c r="T170">
        <v>725280</v>
      </c>
      <c r="U170" s="1">
        <v>9.2601699999999995E-11</v>
      </c>
      <c r="V170" s="1">
        <v>9.2556200000000005E-11</v>
      </c>
      <c r="W170">
        <v>2.8049999999999999E-2</v>
      </c>
      <c r="X170" s="1">
        <f t="shared" si="369"/>
        <v>0.42688742088206416</v>
      </c>
      <c r="Y170">
        <f t="shared" si="370"/>
        <v>2.8049999999999999E-2</v>
      </c>
      <c r="AB170">
        <v>725280</v>
      </c>
      <c r="AC170" s="1">
        <v>1.4358966666666667E-10</v>
      </c>
      <c r="AD170" s="1">
        <v>1.4348E-10</v>
      </c>
      <c r="AE170">
        <v>3.2509999999999997E-2</v>
      </c>
      <c r="AF170" s="49">
        <f t="shared" si="371"/>
        <v>0.66193841439896495</v>
      </c>
      <c r="AG170">
        <f t="shared" si="372"/>
        <v>3.2509999999999997E-2</v>
      </c>
      <c r="AJ170">
        <v>725280</v>
      </c>
      <c r="AK170" s="1">
        <v>2.1626100000000002E-10</v>
      </c>
      <c r="AL170" s="1">
        <v>2.1521133333333333E-10</v>
      </c>
      <c r="AM170">
        <v>3.2419999999999997E-2</v>
      </c>
      <c r="AN170" s="49">
        <f t="shared" si="378"/>
        <v>0.99694822586816534</v>
      </c>
      <c r="AO170">
        <f t="shared" si="379"/>
        <v>3.2419999999999997E-2</v>
      </c>
      <c r="AS170" s="1"/>
      <c r="AT170" s="1"/>
      <c r="AV170" s="49"/>
      <c r="BA170" s="1"/>
      <c r="BB170" s="1"/>
      <c r="BD170" s="49"/>
    </row>
    <row r="171" spans="2:56" x14ac:dyDescent="0.25">
      <c r="B171">
        <v>730270</v>
      </c>
      <c r="C171" s="1">
        <v>1.4613466666666669E-10</v>
      </c>
      <c r="D171" s="1">
        <v>1.4602533333333331E-10</v>
      </c>
      <c r="E171">
        <v>3.3980000000000003E-2</v>
      </c>
      <c r="F171" s="49">
        <f t="shared" si="366"/>
        <v>0.67367068806289188</v>
      </c>
      <c r="G171" s="1">
        <f t="shared" si="374"/>
        <v>0.68367068806289188</v>
      </c>
      <c r="H171">
        <f t="shared" si="373"/>
        <v>3.3980000000000003E-2</v>
      </c>
      <c r="I171">
        <f t="shared" si="375"/>
        <v>3.5480000000000005E-2</v>
      </c>
      <c r="K171">
        <v>730270</v>
      </c>
      <c r="L171" s="1">
        <v>9.4230566666666665E-11</v>
      </c>
      <c r="M171" s="1">
        <v>9.4180200000000004E-11</v>
      </c>
      <c r="N171">
        <v>2.8299999999999999E-2</v>
      </c>
      <c r="O171" s="1">
        <f t="shared" si="367"/>
        <v>0.43439638335569153</v>
      </c>
      <c r="P171" s="1">
        <f t="shared" si="376"/>
        <v>0.44439638335569154</v>
      </c>
      <c r="Q171">
        <f t="shared" si="368"/>
        <v>2.8299999999999999E-2</v>
      </c>
      <c r="R171">
        <f t="shared" si="377"/>
        <v>2.845E-2</v>
      </c>
      <c r="T171">
        <v>730270</v>
      </c>
      <c r="U171" s="1">
        <v>9.2595800000000014E-11</v>
      </c>
      <c r="V171" s="1">
        <v>9.2549999999999993E-11</v>
      </c>
      <c r="W171">
        <v>2.8139999999999998E-2</v>
      </c>
      <c r="X171" s="1">
        <f t="shared" si="369"/>
        <v>0.42686022229085913</v>
      </c>
      <c r="Y171">
        <f t="shared" si="370"/>
        <v>2.8139999999999998E-2</v>
      </c>
      <c r="AB171">
        <v>730270</v>
      </c>
      <c r="AC171" s="1">
        <v>1.4357733333333335E-10</v>
      </c>
      <c r="AD171" s="1">
        <v>1.4346666666666665E-10</v>
      </c>
      <c r="AE171">
        <v>3.261E-2</v>
      </c>
      <c r="AF171" s="49">
        <f t="shared" si="371"/>
        <v>0.66188155858684128</v>
      </c>
      <c r="AG171">
        <f t="shared" si="372"/>
        <v>3.261E-2</v>
      </c>
      <c r="AJ171">
        <v>730270</v>
      </c>
      <c r="AK171" s="1">
        <v>2.16219E-10</v>
      </c>
      <c r="AL171" s="1">
        <v>2.1516699999999999E-10</v>
      </c>
      <c r="AM171">
        <v>3.2500000000000001E-2</v>
      </c>
      <c r="AN171" s="49">
        <f t="shared" si="378"/>
        <v>0.99675460877823019</v>
      </c>
      <c r="AO171">
        <f t="shared" si="379"/>
        <v>3.2500000000000001E-2</v>
      </c>
      <c r="AS171" s="1"/>
      <c r="AT171" s="1"/>
      <c r="AV171" s="49"/>
      <c r="BA171" s="1"/>
      <c r="BB171" s="1"/>
      <c r="BD171" s="49"/>
    </row>
    <row r="172" spans="2:56" x14ac:dyDescent="0.25">
      <c r="B172">
        <v>735270</v>
      </c>
      <c r="C172" s="1">
        <v>1.4612666666666667E-10</v>
      </c>
      <c r="D172" s="1">
        <v>1.4601633333333334E-10</v>
      </c>
      <c r="E172">
        <v>3.4090000000000002E-2</v>
      </c>
      <c r="F172" s="49">
        <f t="shared" si="366"/>
        <v>0.67363380861718991</v>
      </c>
      <c r="G172" s="1">
        <f t="shared" si="374"/>
        <v>0.68363380861718992</v>
      </c>
      <c r="H172">
        <f t="shared" si="373"/>
        <v>3.4090000000000002E-2</v>
      </c>
      <c r="I172">
        <f t="shared" si="375"/>
        <v>3.5590000000000004E-2</v>
      </c>
      <c r="K172">
        <v>735270</v>
      </c>
      <c r="L172" s="1">
        <v>9.4226200000000011E-11</v>
      </c>
      <c r="M172" s="1">
        <v>9.4175100000000007E-11</v>
      </c>
      <c r="N172">
        <v>2.8369999999999999E-2</v>
      </c>
      <c r="O172" s="1">
        <f t="shared" si="367"/>
        <v>0.43437625332491264</v>
      </c>
      <c r="P172" s="1">
        <f t="shared" si="376"/>
        <v>0.44437625332491265</v>
      </c>
      <c r="Q172">
        <f t="shared" si="368"/>
        <v>2.8369999999999999E-2</v>
      </c>
      <c r="R172">
        <f t="shared" si="377"/>
        <v>2.852E-2</v>
      </c>
      <c r="T172">
        <v>735270</v>
      </c>
      <c r="U172" s="1">
        <v>9.2588766666666679E-11</v>
      </c>
      <c r="V172" s="1">
        <v>9.2542766666666659E-11</v>
      </c>
      <c r="W172">
        <v>2.8230000000000002E-2</v>
      </c>
      <c r="X172" s="1">
        <f t="shared" si="369"/>
        <v>0.42682779911151275</v>
      </c>
      <c r="Y172">
        <f t="shared" si="370"/>
        <v>2.8230000000000002E-2</v>
      </c>
      <c r="AB172">
        <v>735270</v>
      </c>
      <c r="AC172" s="1">
        <v>1.4356366666666666E-10</v>
      </c>
      <c r="AD172" s="1">
        <v>1.43452E-10</v>
      </c>
      <c r="AE172">
        <v>3.27E-2</v>
      </c>
      <c r="AF172" s="49">
        <f t="shared" si="371"/>
        <v>0.66181855620043373</v>
      </c>
      <c r="AG172">
        <f t="shared" si="372"/>
        <v>3.27E-2</v>
      </c>
      <c r="AJ172">
        <v>735270</v>
      </c>
      <c r="AK172" s="1">
        <v>2.1616733333333333E-10</v>
      </c>
      <c r="AL172" s="1">
        <v>2.1511333333333331E-10</v>
      </c>
      <c r="AM172">
        <v>3.2570000000000002E-2</v>
      </c>
      <c r="AN172" s="49">
        <f t="shared" si="378"/>
        <v>0.99651642902473847</v>
      </c>
      <c r="AO172">
        <f t="shared" si="379"/>
        <v>3.2570000000000002E-2</v>
      </c>
      <c r="AS172" s="1"/>
      <c r="AT172" s="1"/>
      <c r="AV172" s="49"/>
      <c r="BA172" s="1"/>
      <c r="BB172" s="1"/>
      <c r="BD172" s="49"/>
    </row>
    <row r="173" spans="2:56" x14ac:dyDescent="0.25">
      <c r="B173">
        <v>740260</v>
      </c>
      <c r="C173" s="1">
        <v>1.4612000000000001E-10</v>
      </c>
      <c r="D173" s="1">
        <v>1.4600866666666667E-10</v>
      </c>
      <c r="E173">
        <v>3.4180000000000002E-2</v>
      </c>
      <c r="F173" s="49">
        <f t="shared" si="366"/>
        <v>0.67360307574577161</v>
      </c>
      <c r="G173" s="1">
        <f t="shared" si="374"/>
        <v>0.68360307574577162</v>
      </c>
      <c r="H173">
        <f t="shared" si="373"/>
        <v>3.4180000000000002E-2</v>
      </c>
      <c r="I173">
        <f t="shared" si="375"/>
        <v>3.5680000000000003E-2</v>
      </c>
      <c r="K173">
        <v>740260</v>
      </c>
      <c r="L173" s="1">
        <v>9.4220900000000001E-11</v>
      </c>
      <c r="M173" s="1">
        <v>9.4169766666666658E-11</v>
      </c>
      <c r="N173">
        <v>2.8459999999999999E-2</v>
      </c>
      <c r="O173" s="1">
        <f t="shared" si="367"/>
        <v>0.43435182069213507</v>
      </c>
      <c r="P173" s="1">
        <f t="shared" si="376"/>
        <v>0.44435182069213508</v>
      </c>
      <c r="Q173">
        <f t="shared" si="368"/>
        <v>2.8459999999999999E-2</v>
      </c>
      <c r="R173">
        <f t="shared" si="377"/>
        <v>2.861E-2</v>
      </c>
      <c r="T173">
        <v>740260</v>
      </c>
      <c r="U173" s="1">
        <v>9.2580566666666663E-11</v>
      </c>
      <c r="V173" s="1">
        <v>9.2534233333333324E-11</v>
      </c>
      <c r="W173">
        <v>2.8289999999999999E-2</v>
      </c>
      <c r="X173" s="1">
        <f t="shared" si="369"/>
        <v>0.42678999767966824</v>
      </c>
      <c r="Y173">
        <f t="shared" si="370"/>
        <v>2.8289999999999999E-2</v>
      </c>
      <c r="AB173">
        <v>740260</v>
      </c>
      <c r="AC173" s="1">
        <v>1.4355066666666665E-10</v>
      </c>
      <c r="AD173" s="1">
        <v>1.4343899999999999E-10</v>
      </c>
      <c r="AE173">
        <v>3.279E-2</v>
      </c>
      <c r="AF173" s="49">
        <f t="shared" si="371"/>
        <v>0.66175862710116795</v>
      </c>
      <c r="AG173">
        <f t="shared" si="372"/>
        <v>3.279E-2</v>
      </c>
      <c r="AJ173">
        <v>740260</v>
      </c>
      <c r="AK173" s="1">
        <v>2.1611166666666666E-10</v>
      </c>
      <c r="AL173" s="1">
        <v>2.1505666666666666E-10</v>
      </c>
      <c r="AM173">
        <v>3.2660000000000002E-2</v>
      </c>
      <c r="AN173" s="49">
        <f t="shared" si="378"/>
        <v>0.99625980954839588</v>
      </c>
      <c r="AO173">
        <f t="shared" si="379"/>
        <v>3.2660000000000002E-2</v>
      </c>
      <c r="AS173" s="1"/>
      <c r="AT173" s="1"/>
      <c r="AV173" s="49"/>
      <c r="BA173" s="1"/>
      <c r="BB173" s="1"/>
      <c r="BD173" s="49"/>
    </row>
    <row r="174" spans="2:56" x14ac:dyDescent="0.25">
      <c r="B174">
        <v>745260</v>
      </c>
      <c r="C174" s="1">
        <v>1.4611133333333333E-10</v>
      </c>
      <c r="D174" s="1">
        <v>1.4599966666666667E-10</v>
      </c>
      <c r="E174">
        <v>3.4290000000000001E-2</v>
      </c>
      <c r="F174" s="49">
        <f t="shared" si="366"/>
        <v>0.67356312301292787</v>
      </c>
      <c r="G174" s="1">
        <f t="shared" si="374"/>
        <v>0.68356312301292788</v>
      </c>
      <c r="H174">
        <f t="shared" si="373"/>
        <v>3.4290000000000001E-2</v>
      </c>
      <c r="I174">
        <f t="shared" si="375"/>
        <v>3.5790000000000002E-2</v>
      </c>
      <c r="K174">
        <v>745260</v>
      </c>
      <c r="L174" s="1">
        <v>9.421453333333333E-11</v>
      </c>
      <c r="M174" s="1">
        <v>9.4162966666666661E-11</v>
      </c>
      <c r="N174">
        <v>2.8539999999999999E-2</v>
      </c>
      <c r="O174" s="1">
        <f t="shared" si="367"/>
        <v>0.43432247079993058</v>
      </c>
      <c r="P174" s="1">
        <f t="shared" si="376"/>
        <v>0.44432247079993059</v>
      </c>
      <c r="Q174">
        <f t="shared" si="368"/>
        <v>2.8539999999999999E-2</v>
      </c>
      <c r="R174">
        <f t="shared" si="377"/>
        <v>2.869E-2</v>
      </c>
      <c r="T174">
        <v>745260</v>
      </c>
      <c r="U174" s="1">
        <v>9.2573400000000008E-11</v>
      </c>
      <c r="V174" s="1">
        <v>9.2526766666666664E-11</v>
      </c>
      <c r="W174">
        <v>2.8369999999999999E-2</v>
      </c>
      <c r="X174" s="1">
        <f t="shared" si="369"/>
        <v>0.42675695984289369</v>
      </c>
      <c r="Y174">
        <f t="shared" si="370"/>
        <v>2.8369999999999999E-2</v>
      </c>
      <c r="AB174">
        <v>745260</v>
      </c>
      <c r="AC174" s="1">
        <v>1.4353933333333334E-10</v>
      </c>
      <c r="AD174" s="1">
        <v>1.4342666666666667E-10</v>
      </c>
      <c r="AE174">
        <v>3.2870000000000003E-2</v>
      </c>
      <c r="AF174" s="49">
        <f t="shared" si="371"/>
        <v>0.661706381219757</v>
      </c>
      <c r="AG174">
        <f t="shared" si="372"/>
        <v>3.2870000000000003E-2</v>
      </c>
      <c r="AJ174">
        <v>745260</v>
      </c>
      <c r="AK174" s="1">
        <v>2.160616666666667E-10</v>
      </c>
      <c r="AL174" s="1">
        <v>2.1500433333333331E-10</v>
      </c>
      <c r="AM174">
        <v>3.2750000000000001E-2</v>
      </c>
      <c r="AN174" s="49">
        <f t="shared" si="378"/>
        <v>0.99602931301275899</v>
      </c>
      <c r="AO174">
        <f t="shared" si="379"/>
        <v>3.2750000000000001E-2</v>
      </c>
      <c r="AS174" s="1"/>
      <c r="AT174" s="1"/>
      <c r="AV174" s="49"/>
      <c r="BA174" s="1"/>
      <c r="BB174" s="1"/>
      <c r="BD174" s="49"/>
    </row>
    <row r="175" spans="2:56" x14ac:dyDescent="0.25">
      <c r="B175">
        <v>750250</v>
      </c>
      <c r="C175" s="1">
        <v>1.4610266666666667E-10</v>
      </c>
      <c r="D175" s="1">
        <v>1.4599E-10</v>
      </c>
      <c r="E175">
        <v>3.4389999999999997E-2</v>
      </c>
      <c r="F175" s="49">
        <f t="shared" si="366"/>
        <v>0.67352317028008413</v>
      </c>
      <c r="G175" s="1">
        <f t="shared" si="374"/>
        <v>0.68352317028008414</v>
      </c>
      <c r="H175">
        <f t="shared" si="373"/>
        <v>3.4389999999999997E-2</v>
      </c>
      <c r="I175">
        <f t="shared" si="375"/>
        <v>3.5889999999999998E-2</v>
      </c>
      <c r="K175">
        <v>750250</v>
      </c>
      <c r="L175" s="1">
        <v>9.4208000000000012E-11</v>
      </c>
      <c r="M175" s="1">
        <v>9.4156733333333336E-11</v>
      </c>
      <c r="N175">
        <v>2.86E-2</v>
      </c>
      <c r="O175" s="1">
        <f t="shared" si="367"/>
        <v>0.43429235258594073</v>
      </c>
      <c r="P175" s="1">
        <f t="shared" si="376"/>
        <v>0.44429235258594074</v>
      </c>
      <c r="Q175">
        <f t="shared" si="368"/>
        <v>2.86E-2</v>
      </c>
      <c r="R175">
        <f t="shared" si="377"/>
        <v>2.8750000000000001E-2</v>
      </c>
      <c r="T175">
        <v>750250</v>
      </c>
      <c r="U175" s="1">
        <v>9.2565600000000003E-11</v>
      </c>
      <c r="V175" s="1">
        <v>9.251863333333334E-11</v>
      </c>
      <c r="W175">
        <v>2.8469999999999999E-2</v>
      </c>
      <c r="X175" s="1">
        <f t="shared" si="369"/>
        <v>0.42672100238333421</v>
      </c>
      <c r="Y175">
        <f t="shared" si="370"/>
        <v>2.8469999999999999E-2</v>
      </c>
      <c r="AB175">
        <v>750250</v>
      </c>
      <c r="AC175" s="1">
        <v>1.4352666666666668E-10</v>
      </c>
      <c r="AD175" s="1">
        <v>1.4341366666666666E-10</v>
      </c>
      <c r="AE175">
        <v>3.2960000000000003E-2</v>
      </c>
      <c r="AF175" s="49">
        <f t="shared" si="371"/>
        <v>0.66164798876406228</v>
      </c>
      <c r="AG175">
        <f t="shared" si="372"/>
        <v>3.2960000000000003E-2</v>
      </c>
      <c r="AJ175">
        <v>750250</v>
      </c>
      <c r="AK175" s="1">
        <v>2.1600233333333334E-10</v>
      </c>
      <c r="AL175" s="1">
        <v>2.1494366666666667E-10</v>
      </c>
      <c r="AM175">
        <v>3.2829999999999998E-2</v>
      </c>
      <c r="AN175" s="49">
        <f t="shared" si="378"/>
        <v>0.99575579045713625</v>
      </c>
      <c r="AO175">
        <f t="shared" si="379"/>
        <v>3.2829999999999998E-2</v>
      </c>
      <c r="AS175" s="1"/>
      <c r="AT175" s="1"/>
      <c r="AV175" s="49"/>
      <c r="BA175" s="1"/>
      <c r="BB175" s="1"/>
      <c r="BD175" s="49"/>
    </row>
    <row r="176" spans="2:56" x14ac:dyDescent="0.25">
      <c r="B176">
        <v>755250</v>
      </c>
      <c r="C176" s="1">
        <v>1.46095E-10</v>
      </c>
      <c r="D176" s="1">
        <v>1.4598199999999999E-10</v>
      </c>
      <c r="E176">
        <v>3.449E-2</v>
      </c>
      <c r="F176" s="49">
        <f t="shared" si="366"/>
        <v>0.6734878274779531</v>
      </c>
      <c r="G176" s="1">
        <f t="shared" si="374"/>
        <v>0.68348782747795311</v>
      </c>
      <c r="H176">
        <f t="shared" si="373"/>
        <v>3.449E-2</v>
      </c>
      <c r="I176">
        <f t="shared" si="375"/>
        <v>3.5990000000000001E-2</v>
      </c>
      <c r="K176">
        <v>755250</v>
      </c>
      <c r="L176" s="1">
        <v>9.4200066666666662E-11</v>
      </c>
      <c r="M176" s="1">
        <v>9.4148100000000008E-11</v>
      </c>
      <c r="N176">
        <v>2.8680000000000001E-2</v>
      </c>
      <c r="O176" s="1">
        <f t="shared" si="367"/>
        <v>0.43425578046895286</v>
      </c>
      <c r="P176" s="1">
        <f t="shared" si="376"/>
        <v>0.44425578046895287</v>
      </c>
      <c r="Q176">
        <f t="shared" si="368"/>
        <v>2.8680000000000001E-2</v>
      </c>
      <c r="R176">
        <f t="shared" si="377"/>
        <v>2.8830000000000001E-2</v>
      </c>
      <c r="T176">
        <v>755250</v>
      </c>
      <c r="U176" s="1">
        <v>9.2560133333333334E-11</v>
      </c>
      <c r="V176" s="1">
        <v>9.2513066666666665E-11</v>
      </c>
      <c r="W176">
        <v>2.8539999999999999E-2</v>
      </c>
      <c r="X176" s="1">
        <f t="shared" si="369"/>
        <v>0.42669580142877123</v>
      </c>
      <c r="Y176">
        <f t="shared" si="370"/>
        <v>2.8539999999999999E-2</v>
      </c>
      <c r="AB176">
        <v>755250</v>
      </c>
      <c r="AC176" s="1">
        <v>1.4351333333333332E-10</v>
      </c>
      <c r="AD176" s="1">
        <v>1.4339933333333333E-10</v>
      </c>
      <c r="AE176">
        <v>3.3070000000000002E-2</v>
      </c>
      <c r="AF176" s="49">
        <f t="shared" si="371"/>
        <v>0.66158652302122567</v>
      </c>
      <c r="AG176">
        <f t="shared" si="372"/>
        <v>3.3070000000000002E-2</v>
      </c>
      <c r="AJ176">
        <v>755250</v>
      </c>
      <c r="AK176" s="1">
        <v>2.15909E-10</v>
      </c>
      <c r="AL176" s="1">
        <v>2.1484933333333332E-10</v>
      </c>
      <c r="AM176">
        <v>3.2910000000000002E-2</v>
      </c>
      <c r="AN176" s="49">
        <f t="shared" si="378"/>
        <v>0.99532553025728032</v>
      </c>
      <c r="AO176">
        <f t="shared" si="379"/>
        <v>3.2910000000000002E-2</v>
      </c>
      <c r="AS176" s="1"/>
      <c r="AT176" s="1"/>
      <c r="AV176" s="49"/>
      <c r="BA176" s="1"/>
      <c r="BB176" s="1"/>
      <c r="BD176" s="49"/>
    </row>
    <row r="177" spans="2:56" x14ac:dyDescent="0.25">
      <c r="B177">
        <v>760240</v>
      </c>
      <c r="C177" s="1">
        <v>1.46086E-10</v>
      </c>
      <c r="D177" s="1">
        <v>1.4597233333333332E-10</v>
      </c>
      <c r="E177">
        <v>3.456E-2</v>
      </c>
      <c r="F177" s="49">
        <f t="shared" si="366"/>
        <v>0.67344633810153842</v>
      </c>
      <c r="G177" s="1">
        <f t="shared" si="374"/>
        <v>0.68344633810153843</v>
      </c>
      <c r="H177">
        <f t="shared" si="373"/>
        <v>3.456E-2</v>
      </c>
      <c r="I177">
        <f t="shared" si="375"/>
        <v>3.6060000000000002E-2</v>
      </c>
      <c r="K177">
        <v>760240</v>
      </c>
      <c r="L177" s="1">
        <v>9.4192699999999995E-11</v>
      </c>
      <c r="M177" s="1">
        <v>9.4140366666666682E-11</v>
      </c>
      <c r="N177">
        <v>2.8760000000000001E-2</v>
      </c>
      <c r="O177" s="1">
        <f t="shared" si="367"/>
        <v>0.43422182064603571</v>
      </c>
      <c r="P177" s="1">
        <f t="shared" si="376"/>
        <v>0.44422182064603571</v>
      </c>
      <c r="Q177">
        <f t="shared" si="368"/>
        <v>2.8760000000000001E-2</v>
      </c>
      <c r="R177">
        <f t="shared" si="377"/>
        <v>2.8910000000000002E-2</v>
      </c>
      <c r="T177">
        <v>760240</v>
      </c>
      <c r="U177" s="1">
        <v>9.2552433333333335E-11</v>
      </c>
      <c r="V177" s="1">
        <v>9.2505100000000014E-11</v>
      </c>
      <c r="W177">
        <v>2.861E-2</v>
      </c>
      <c r="X177" s="1">
        <f t="shared" si="369"/>
        <v>0.42666030496228313</v>
      </c>
      <c r="Y177">
        <f t="shared" si="370"/>
        <v>2.861E-2</v>
      </c>
      <c r="AB177">
        <v>760240</v>
      </c>
      <c r="AC177" s="1">
        <v>1.4350233333333333E-10</v>
      </c>
      <c r="AD177" s="1">
        <v>1.4338799999999999E-10</v>
      </c>
      <c r="AE177">
        <v>3.3140000000000003E-2</v>
      </c>
      <c r="AF177" s="49">
        <f t="shared" si="371"/>
        <v>0.66153581378338555</v>
      </c>
      <c r="AG177">
        <f t="shared" si="372"/>
        <v>3.3140000000000003E-2</v>
      </c>
      <c r="AJ177">
        <v>760240</v>
      </c>
      <c r="AK177" s="1">
        <v>2.1577833333333333E-10</v>
      </c>
      <c r="AL177" s="1">
        <v>2.1471733333333333E-10</v>
      </c>
      <c r="AM177">
        <v>3.3000000000000002E-2</v>
      </c>
      <c r="AN177" s="49">
        <f t="shared" si="378"/>
        <v>0.994723165977482</v>
      </c>
      <c r="AO177">
        <f t="shared" si="379"/>
        <v>3.3000000000000002E-2</v>
      </c>
      <c r="AS177" s="1"/>
      <c r="AT177" s="1"/>
      <c r="AV177" s="49"/>
      <c r="BA177" s="1"/>
      <c r="BB177" s="1"/>
      <c r="BD177" s="49"/>
    </row>
    <row r="178" spans="2:56" x14ac:dyDescent="0.25">
      <c r="B178">
        <v>765240</v>
      </c>
      <c r="C178" s="1">
        <v>1.4607766666666667E-10</v>
      </c>
      <c r="D178" s="1">
        <v>1.4596366666666667E-10</v>
      </c>
      <c r="E178">
        <v>3.4660000000000003E-2</v>
      </c>
      <c r="F178" s="49">
        <f t="shared" si="366"/>
        <v>0.67340792201226551</v>
      </c>
      <c r="G178" s="1">
        <f t="shared" si="374"/>
        <v>0.68340792201226552</v>
      </c>
      <c r="H178">
        <f t="shared" si="373"/>
        <v>3.4660000000000003E-2</v>
      </c>
      <c r="I178">
        <f t="shared" si="375"/>
        <v>3.6160000000000005E-2</v>
      </c>
      <c r="K178">
        <v>765240</v>
      </c>
      <c r="L178" s="1">
        <v>9.4186566666666675E-11</v>
      </c>
      <c r="M178" s="1">
        <v>9.4133833333333325E-11</v>
      </c>
      <c r="N178">
        <v>2.8830000000000001E-2</v>
      </c>
      <c r="O178" s="1">
        <f t="shared" si="367"/>
        <v>0.43419354640433094</v>
      </c>
      <c r="P178" s="1">
        <f t="shared" si="376"/>
        <v>0.44419354640433095</v>
      </c>
      <c r="Q178">
        <f t="shared" si="368"/>
        <v>2.8830000000000001E-2</v>
      </c>
      <c r="R178">
        <f t="shared" si="377"/>
        <v>2.8980000000000002E-2</v>
      </c>
      <c r="T178">
        <v>765240</v>
      </c>
      <c r="U178" s="1">
        <v>9.254556666666666E-11</v>
      </c>
      <c r="V178" s="1">
        <v>9.249796666666666E-11</v>
      </c>
      <c r="W178">
        <v>2.869E-2</v>
      </c>
      <c r="X178" s="1">
        <f t="shared" si="369"/>
        <v>0.42662865010472228</v>
      </c>
      <c r="Y178">
        <f t="shared" si="370"/>
        <v>2.869E-2</v>
      </c>
      <c r="AB178">
        <v>765240</v>
      </c>
      <c r="AC178" s="1">
        <v>1.4349133333333334E-10</v>
      </c>
      <c r="AD178" s="1">
        <v>1.4337666666666666E-10</v>
      </c>
      <c r="AE178">
        <v>3.322E-2</v>
      </c>
      <c r="AF178" s="49">
        <f t="shared" si="371"/>
        <v>0.66148510454554543</v>
      </c>
      <c r="AG178">
        <f t="shared" si="372"/>
        <v>3.322E-2</v>
      </c>
      <c r="AJ178">
        <v>765240</v>
      </c>
      <c r="AK178" s="1">
        <v>2.1563433333333334E-10</v>
      </c>
      <c r="AL178" s="1">
        <v>2.1457233333333333E-10</v>
      </c>
      <c r="AM178">
        <v>3.3059999999999999E-2</v>
      </c>
      <c r="AN178" s="49">
        <f t="shared" si="378"/>
        <v>0.99405933595484741</v>
      </c>
      <c r="AO178">
        <f t="shared" si="379"/>
        <v>3.3059999999999999E-2</v>
      </c>
      <c r="AS178" s="1"/>
      <c r="AT178" s="1"/>
      <c r="AV178" s="49"/>
      <c r="BA178" s="1"/>
      <c r="BB178" s="1"/>
      <c r="BD178" s="49"/>
    </row>
    <row r="179" spans="2:56" x14ac:dyDescent="0.25">
      <c r="B179">
        <v>770230</v>
      </c>
      <c r="C179" s="1">
        <v>1.4606966666666665E-10</v>
      </c>
      <c r="D179" s="1">
        <v>1.4595466666666667E-10</v>
      </c>
      <c r="E179">
        <v>3.4779999999999998E-2</v>
      </c>
      <c r="F179" s="49">
        <f t="shared" si="366"/>
        <v>0.67337104256656355</v>
      </c>
      <c r="G179" s="1">
        <f t="shared" si="374"/>
        <v>0.68337104256656356</v>
      </c>
      <c r="H179">
        <f t="shared" si="373"/>
        <v>3.4779999999999998E-2</v>
      </c>
      <c r="I179">
        <f t="shared" si="375"/>
        <v>3.628E-2</v>
      </c>
      <c r="K179">
        <v>770230</v>
      </c>
      <c r="L179" s="1">
        <v>9.418023333333333E-11</v>
      </c>
      <c r="M179" s="1">
        <v>9.4127133333333335E-11</v>
      </c>
      <c r="N179">
        <v>2.8889999999999999E-2</v>
      </c>
      <c r="O179" s="1">
        <f t="shared" si="367"/>
        <v>0.43416435017648353</v>
      </c>
      <c r="P179" s="1">
        <f t="shared" si="376"/>
        <v>0.44416435017648354</v>
      </c>
      <c r="Q179">
        <f t="shared" si="368"/>
        <v>2.8889999999999999E-2</v>
      </c>
      <c r="R179">
        <f t="shared" si="377"/>
        <v>2.904E-2</v>
      </c>
      <c r="T179">
        <v>770230</v>
      </c>
      <c r="U179" s="1">
        <v>9.2539133333333335E-11</v>
      </c>
      <c r="V179" s="1">
        <v>9.2491233333333343E-11</v>
      </c>
      <c r="W179">
        <v>2.8750000000000001E-2</v>
      </c>
      <c r="X179" s="1">
        <f t="shared" si="369"/>
        <v>0.42659899288380365</v>
      </c>
      <c r="Y179">
        <f t="shared" si="370"/>
        <v>2.8750000000000001E-2</v>
      </c>
      <c r="AB179">
        <v>770230</v>
      </c>
      <c r="AC179" s="1">
        <v>1.4347666666666666E-10</v>
      </c>
      <c r="AD179" s="1">
        <v>1.4336100000000002E-10</v>
      </c>
      <c r="AE179">
        <v>3.3340000000000002E-2</v>
      </c>
      <c r="AF179" s="49">
        <f t="shared" si="371"/>
        <v>0.66141749222842516</v>
      </c>
      <c r="AG179">
        <f t="shared" si="372"/>
        <v>3.3340000000000002E-2</v>
      </c>
      <c r="AJ179">
        <v>770230</v>
      </c>
      <c r="AK179" s="1">
        <v>2.1553400000000001E-10</v>
      </c>
      <c r="AL179" s="1">
        <v>2.1447066666666665E-10</v>
      </c>
      <c r="AM179">
        <v>3.3140000000000003E-2</v>
      </c>
      <c r="AN179" s="49">
        <f t="shared" si="378"/>
        <v>0.99359680624000235</v>
      </c>
      <c r="AO179">
        <f t="shared" si="379"/>
        <v>3.3140000000000003E-2</v>
      </c>
      <c r="AS179" s="1"/>
      <c r="AT179" s="1"/>
      <c r="AV179" s="49"/>
      <c r="BA179" s="1"/>
      <c r="BB179" s="1"/>
      <c r="BD179" s="49"/>
    </row>
    <row r="180" spans="2:56" x14ac:dyDescent="0.25">
      <c r="B180">
        <v>775230</v>
      </c>
      <c r="C180" s="1">
        <v>1.4606133333333334E-10</v>
      </c>
      <c r="D180" s="1">
        <v>1.4594566666666667E-10</v>
      </c>
      <c r="E180">
        <v>3.4880000000000001E-2</v>
      </c>
      <c r="F180" s="49">
        <f t="shared" si="366"/>
        <v>0.67333262647729075</v>
      </c>
      <c r="G180" s="1">
        <f t="shared" si="374"/>
        <v>0.68333262647729076</v>
      </c>
      <c r="H180">
        <f t="shared" si="373"/>
        <v>3.4880000000000001E-2</v>
      </c>
      <c r="I180">
        <f t="shared" si="375"/>
        <v>3.6380000000000003E-2</v>
      </c>
      <c r="K180">
        <v>775230</v>
      </c>
      <c r="L180" s="1">
        <v>9.4172233333333339E-11</v>
      </c>
      <c r="M180" s="1">
        <v>9.4118733333333346E-11</v>
      </c>
      <c r="N180">
        <v>2.8979999999999999E-2</v>
      </c>
      <c r="O180" s="1">
        <f t="shared" si="367"/>
        <v>0.43412747073078162</v>
      </c>
      <c r="P180" s="1">
        <f t="shared" si="376"/>
        <v>0.44412747073078163</v>
      </c>
      <c r="Q180">
        <f t="shared" si="368"/>
        <v>2.8979999999999999E-2</v>
      </c>
      <c r="R180">
        <f t="shared" si="377"/>
        <v>2.913E-2</v>
      </c>
      <c r="T180">
        <v>775230</v>
      </c>
      <c r="U180" s="1">
        <v>9.2532499999999998E-11</v>
      </c>
      <c r="V180" s="1">
        <v>9.2484366666666667E-11</v>
      </c>
      <c r="W180">
        <v>2.8840000000000001E-2</v>
      </c>
      <c r="X180" s="1">
        <f t="shared" si="369"/>
        <v>0.42656841367674248</v>
      </c>
      <c r="Y180">
        <f t="shared" si="370"/>
        <v>2.8840000000000001E-2</v>
      </c>
      <c r="AB180">
        <v>775230</v>
      </c>
      <c r="AC180" s="1">
        <v>1.4346233333333332E-10</v>
      </c>
      <c r="AD180" s="1">
        <v>1.4334633333333334E-10</v>
      </c>
      <c r="AE180">
        <v>3.3419999999999998E-2</v>
      </c>
      <c r="AF180" s="49">
        <f t="shared" si="371"/>
        <v>0.66135141655487584</v>
      </c>
      <c r="AG180">
        <f t="shared" si="372"/>
        <v>3.3419999999999998E-2</v>
      </c>
      <c r="AJ180">
        <v>775230</v>
      </c>
      <c r="AK180" s="1">
        <v>2.15487E-10</v>
      </c>
      <c r="AL180" s="1">
        <v>2.1442199999999999E-10</v>
      </c>
      <c r="AM180">
        <v>3.3230000000000003E-2</v>
      </c>
      <c r="AN180" s="49">
        <f t="shared" si="378"/>
        <v>0.99338013949650339</v>
      </c>
      <c r="AO180">
        <f t="shared" si="379"/>
        <v>3.3230000000000003E-2</v>
      </c>
      <c r="AS180" s="1"/>
      <c r="AT180" s="1"/>
      <c r="AV180" s="49"/>
      <c r="BA180" s="1"/>
      <c r="BB180" s="1"/>
      <c r="BD180" s="49"/>
    </row>
    <row r="181" spans="2:56" x14ac:dyDescent="0.25">
      <c r="B181">
        <v>780220</v>
      </c>
      <c r="C181" s="1">
        <v>1.4605200000000002E-10</v>
      </c>
      <c r="D181" s="1">
        <v>1.4593533333333332E-10</v>
      </c>
      <c r="E181">
        <v>3.4950000000000002E-2</v>
      </c>
      <c r="F181" s="49">
        <f t="shared" si="366"/>
        <v>0.67328960045730524</v>
      </c>
      <c r="G181" s="1">
        <f t="shared" si="374"/>
        <v>0.68328960045730525</v>
      </c>
      <c r="H181">
        <f t="shared" si="373"/>
        <v>3.4950000000000002E-2</v>
      </c>
      <c r="I181">
        <f t="shared" si="375"/>
        <v>3.6450000000000003E-2</v>
      </c>
      <c r="K181">
        <v>780220</v>
      </c>
      <c r="L181" s="1">
        <v>9.4165366666666664E-11</v>
      </c>
      <c r="M181" s="1">
        <v>9.411183333333333E-11</v>
      </c>
      <c r="N181">
        <v>2.903E-2</v>
      </c>
      <c r="O181" s="1">
        <f t="shared" si="367"/>
        <v>0.43409581587322082</v>
      </c>
      <c r="P181" s="1">
        <f t="shared" si="376"/>
        <v>0.44409581587322083</v>
      </c>
      <c r="Q181">
        <f t="shared" si="368"/>
        <v>2.903E-2</v>
      </c>
      <c r="R181">
        <f t="shared" si="377"/>
        <v>2.9180000000000001E-2</v>
      </c>
      <c r="T181">
        <v>780220</v>
      </c>
      <c r="U181" s="1">
        <v>9.2524266666666668E-11</v>
      </c>
      <c r="V181" s="1">
        <v>9.2475933333333338E-11</v>
      </c>
      <c r="W181">
        <v>2.8910000000000002E-2</v>
      </c>
      <c r="X181" s="1">
        <f t="shared" si="369"/>
        <v>0.42653045858054089</v>
      </c>
      <c r="Y181">
        <f t="shared" si="370"/>
        <v>2.8910000000000002E-2</v>
      </c>
      <c r="AB181">
        <v>780220</v>
      </c>
      <c r="AC181" s="1">
        <v>1.4345033333333333E-10</v>
      </c>
      <c r="AD181" s="1">
        <v>1.4333366666666665E-10</v>
      </c>
      <c r="AE181">
        <v>3.3480000000000003E-2</v>
      </c>
      <c r="AF181" s="49">
        <f t="shared" si="371"/>
        <v>0.661296097386323</v>
      </c>
      <c r="AG181">
        <f t="shared" si="372"/>
        <v>3.3480000000000003E-2</v>
      </c>
      <c r="AJ181">
        <v>780220</v>
      </c>
      <c r="AK181" s="1">
        <v>2.1545566666666667E-10</v>
      </c>
      <c r="AL181" s="1">
        <v>2.1438900000000001E-10</v>
      </c>
      <c r="AM181">
        <v>3.3309999999999999E-2</v>
      </c>
      <c r="AN181" s="49">
        <f t="shared" si="378"/>
        <v>0.99323569500083753</v>
      </c>
      <c r="AO181">
        <f t="shared" si="379"/>
        <v>3.3309999999999999E-2</v>
      </c>
      <c r="AS181" s="1"/>
      <c r="AT181" s="1"/>
      <c r="AV181" s="49"/>
      <c r="BA181" s="1"/>
      <c r="BB181" s="1"/>
      <c r="BD181" s="49"/>
    </row>
    <row r="182" spans="2:56" x14ac:dyDescent="0.25">
      <c r="B182">
        <v>785220</v>
      </c>
      <c r="C182" s="1">
        <v>1.4604166666666667E-10</v>
      </c>
      <c r="D182" s="1">
        <v>1.4592466666666665E-10</v>
      </c>
      <c r="E182">
        <v>3.5069999999999997E-2</v>
      </c>
      <c r="F182" s="49">
        <f t="shared" si="366"/>
        <v>0.67324196450660689</v>
      </c>
      <c r="G182" s="1">
        <f t="shared" si="374"/>
        <v>0.6832419645066069</v>
      </c>
      <c r="H182">
        <f t="shared" si="373"/>
        <v>3.5069999999999997E-2</v>
      </c>
      <c r="I182">
        <f t="shared" si="375"/>
        <v>3.6569999999999998E-2</v>
      </c>
      <c r="K182">
        <v>785220</v>
      </c>
      <c r="L182" s="1">
        <v>9.4157033333333328E-11</v>
      </c>
      <c r="M182" s="1">
        <v>9.4103466666666668E-11</v>
      </c>
      <c r="N182">
        <v>2.911E-2</v>
      </c>
      <c r="O182" s="1">
        <f t="shared" si="367"/>
        <v>0.43405739978394792</v>
      </c>
      <c r="P182" s="1">
        <f t="shared" si="376"/>
        <v>0.44405739978394793</v>
      </c>
      <c r="Q182">
        <f t="shared" si="368"/>
        <v>2.911E-2</v>
      </c>
      <c r="R182">
        <f t="shared" si="377"/>
        <v>2.9260000000000001E-2</v>
      </c>
      <c r="T182">
        <v>785220</v>
      </c>
      <c r="U182" s="1">
        <v>9.2517666666666658E-11</v>
      </c>
      <c r="V182" s="1">
        <v>9.2468999999999996E-11</v>
      </c>
      <c r="W182">
        <v>2.8979999999999999E-2</v>
      </c>
      <c r="X182" s="1">
        <f t="shared" si="369"/>
        <v>0.42650003303783679</v>
      </c>
      <c r="Y182">
        <f t="shared" si="370"/>
        <v>2.8979999999999999E-2</v>
      </c>
      <c r="AB182">
        <v>785220</v>
      </c>
      <c r="AC182" s="1">
        <v>1.4344066666666669E-10</v>
      </c>
      <c r="AD182" s="1">
        <v>1.4332366666666667E-10</v>
      </c>
      <c r="AE182">
        <v>3.3579999999999999E-2</v>
      </c>
      <c r="AF182" s="49">
        <f t="shared" si="371"/>
        <v>0.66125153472276665</v>
      </c>
      <c r="AG182">
        <f t="shared" si="372"/>
        <v>3.3579999999999999E-2</v>
      </c>
      <c r="AJ182">
        <v>785220</v>
      </c>
      <c r="AK182" s="1">
        <v>2.1545800000000001E-10</v>
      </c>
      <c r="AL182" s="1">
        <v>2.1438966666666668E-10</v>
      </c>
      <c r="AM182">
        <v>3.338E-2</v>
      </c>
      <c r="AN182" s="49">
        <f t="shared" si="378"/>
        <v>0.99324645150583402</v>
      </c>
      <c r="AO182">
        <f t="shared" si="379"/>
        <v>3.338E-2</v>
      </c>
      <c r="AS182" s="1"/>
      <c r="AT182" s="1"/>
      <c r="AV182" s="49"/>
      <c r="BA182" s="1"/>
      <c r="BB182" s="1"/>
      <c r="BD182" s="49"/>
    </row>
    <row r="183" spans="2:56" x14ac:dyDescent="0.25">
      <c r="B183">
        <v>790210</v>
      </c>
      <c r="C183" s="1">
        <v>1.4603199999999998E-10</v>
      </c>
      <c r="D183" s="1">
        <v>1.4591466666666666E-10</v>
      </c>
      <c r="E183">
        <v>3.5150000000000001E-2</v>
      </c>
      <c r="F183" s="49">
        <f t="shared" si="366"/>
        <v>0.67319740184305032</v>
      </c>
      <c r="G183" s="1">
        <f t="shared" si="374"/>
        <v>0.68319740184305033</v>
      </c>
      <c r="H183">
        <f t="shared" si="373"/>
        <v>3.5150000000000001E-2</v>
      </c>
      <c r="I183">
        <f t="shared" si="375"/>
        <v>3.6650000000000002E-2</v>
      </c>
      <c r="K183">
        <v>790210</v>
      </c>
      <c r="L183" s="1">
        <v>9.4152633333333347E-11</v>
      </c>
      <c r="M183" s="1">
        <v>9.4098666666666676E-11</v>
      </c>
      <c r="N183">
        <v>2.9180000000000001E-2</v>
      </c>
      <c r="O183" s="1">
        <f t="shared" si="367"/>
        <v>0.4340371160888119</v>
      </c>
      <c r="P183" s="1">
        <f t="shared" si="376"/>
        <v>0.44403711608881191</v>
      </c>
      <c r="Q183">
        <f t="shared" si="368"/>
        <v>2.9180000000000001E-2</v>
      </c>
      <c r="R183">
        <f t="shared" si="377"/>
        <v>2.9330000000000002E-2</v>
      </c>
      <c r="T183">
        <v>790210</v>
      </c>
      <c r="U183" s="1">
        <v>9.251049999999999E-11</v>
      </c>
      <c r="V183" s="1">
        <v>9.2461633333333329E-11</v>
      </c>
      <c r="W183">
        <v>2.9080000000000002E-2</v>
      </c>
      <c r="X183" s="1">
        <f t="shared" si="369"/>
        <v>0.42646699520106213</v>
      </c>
      <c r="Y183">
        <f t="shared" si="370"/>
        <v>2.9080000000000002E-2</v>
      </c>
      <c r="AB183">
        <v>790210</v>
      </c>
      <c r="AC183" s="1">
        <v>1.43428E-10</v>
      </c>
      <c r="AD183" s="1">
        <v>1.4331033333333334E-10</v>
      </c>
      <c r="AE183">
        <v>3.3660000000000002E-2</v>
      </c>
      <c r="AF183" s="49">
        <f t="shared" si="371"/>
        <v>0.66119314226707182</v>
      </c>
      <c r="AG183">
        <f t="shared" si="372"/>
        <v>3.3660000000000002E-2</v>
      </c>
      <c r="AJ183">
        <v>790210</v>
      </c>
      <c r="AK183" s="1">
        <v>2.1540699999999998E-10</v>
      </c>
      <c r="AL183" s="1">
        <v>2.1433666666666669E-10</v>
      </c>
      <c r="AM183">
        <v>3.3439999999999998E-2</v>
      </c>
      <c r="AN183" s="49">
        <f t="shared" si="378"/>
        <v>0.99301134503948407</v>
      </c>
      <c r="AO183">
        <f t="shared" si="379"/>
        <v>3.3439999999999998E-2</v>
      </c>
      <c r="AS183" s="1"/>
      <c r="AT183" s="1"/>
      <c r="AV183" s="49"/>
      <c r="BA183" s="1"/>
      <c r="BB183" s="1"/>
      <c r="BD183" s="49"/>
    </row>
    <row r="184" spans="2:56" x14ac:dyDescent="0.25">
      <c r="B184">
        <v>795210</v>
      </c>
      <c r="C184" s="1">
        <v>1.4602266666666666E-10</v>
      </c>
      <c r="D184" s="1">
        <v>1.4590433333333334E-10</v>
      </c>
      <c r="E184">
        <v>3.526E-2</v>
      </c>
      <c r="F184" s="49">
        <f t="shared" si="366"/>
        <v>0.6731543758230647</v>
      </c>
      <c r="G184" s="1">
        <f t="shared" si="374"/>
        <v>0.68315437582306471</v>
      </c>
      <c r="H184">
        <f t="shared" si="373"/>
        <v>3.526E-2</v>
      </c>
      <c r="I184">
        <f t="shared" si="375"/>
        <v>3.6760000000000001E-2</v>
      </c>
      <c r="K184">
        <v>795210</v>
      </c>
      <c r="L184" s="1">
        <v>9.4144933333333335E-11</v>
      </c>
      <c r="M184" s="1">
        <v>9.4090900000000011E-11</v>
      </c>
      <c r="N184">
        <v>2.9239999999999999E-2</v>
      </c>
      <c r="O184" s="1">
        <f t="shared" si="367"/>
        <v>0.43400161962232381</v>
      </c>
      <c r="P184" s="1">
        <f t="shared" si="376"/>
        <v>0.44400161962232382</v>
      </c>
      <c r="Q184">
        <f t="shared" si="368"/>
        <v>2.9239999999999999E-2</v>
      </c>
      <c r="R184">
        <f t="shared" si="377"/>
        <v>2.9389999999999999E-2</v>
      </c>
      <c r="T184">
        <v>795210</v>
      </c>
      <c r="U184" s="1">
        <v>9.2502333333333327E-11</v>
      </c>
      <c r="V184" s="1">
        <v>9.2453133333333321E-11</v>
      </c>
      <c r="W184">
        <v>2.9149999999999999E-2</v>
      </c>
      <c r="X184" s="1">
        <f t="shared" si="369"/>
        <v>0.42642934743357475</v>
      </c>
      <c r="Y184">
        <f t="shared" si="370"/>
        <v>2.9149999999999999E-2</v>
      </c>
      <c r="AB184">
        <v>795210</v>
      </c>
      <c r="AC184" s="1">
        <v>1.4341633333333334E-10</v>
      </c>
      <c r="AD184" s="1">
        <v>1.4329866666666666E-10</v>
      </c>
      <c r="AE184">
        <v>3.3759999999999998E-2</v>
      </c>
      <c r="AF184" s="49">
        <f t="shared" si="371"/>
        <v>0.66113935974208993</v>
      </c>
      <c r="AG184">
        <f t="shared" si="372"/>
        <v>3.3759999999999998E-2</v>
      </c>
      <c r="AJ184">
        <v>795210</v>
      </c>
      <c r="AK184" s="1">
        <v>2.1526033333333331E-10</v>
      </c>
      <c r="AL184" s="1">
        <v>2.1418866666666666E-10</v>
      </c>
      <c r="AM184">
        <v>3.3529999999999997E-2</v>
      </c>
      <c r="AN184" s="49">
        <f t="shared" si="378"/>
        <v>0.99233522186828194</v>
      </c>
      <c r="AO184">
        <f t="shared" si="379"/>
        <v>3.3529999999999997E-2</v>
      </c>
      <c r="AS184" s="1"/>
      <c r="AT184" s="1"/>
      <c r="AV184" s="49"/>
      <c r="BA184" s="1"/>
      <c r="BB184" s="1"/>
      <c r="BD184" s="49"/>
    </row>
    <row r="185" spans="2:56" x14ac:dyDescent="0.25">
      <c r="B185">
        <v>800200</v>
      </c>
      <c r="C185" s="1">
        <v>1.4601133333333335E-10</v>
      </c>
      <c r="D185" s="1">
        <v>1.45893E-10</v>
      </c>
      <c r="E185">
        <v>3.5340000000000003E-2</v>
      </c>
      <c r="F185" s="49">
        <f t="shared" si="366"/>
        <v>0.67310212994165375</v>
      </c>
      <c r="G185" s="1">
        <f t="shared" si="374"/>
        <v>0.68310212994165376</v>
      </c>
      <c r="H185">
        <f t="shared" si="373"/>
        <v>3.5340000000000003E-2</v>
      </c>
      <c r="I185">
        <f t="shared" si="375"/>
        <v>3.6840000000000005E-2</v>
      </c>
      <c r="K185">
        <v>800200</v>
      </c>
      <c r="L185" s="1">
        <v>9.4140400000000009E-11</v>
      </c>
      <c r="M185" s="1">
        <v>9.4085700000000007E-11</v>
      </c>
      <c r="N185">
        <v>2.9309999999999999E-2</v>
      </c>
      <c r="O185" s="1">
        <f t="shared" si="367"/>
        <v>0.43398072126975934</v>
      </c>
      <c r="P185" s="1">
        <f t="shared" si="376"/>
        <v>0.44398072126975935</v>
      </c>
      <c r="Q185">
        <f t="shared" si="368"/>
        <v>2.9309999999999999E-2</v>
      </c>
      <c r="R185">
        <f t="shared" si="377"/>
        <v>2.946E-2</v>
      </c>
      <c r="T185">
        <v>800200</v>
      </c>
      <c r="U185" s="1">
        <v>9.2495599999999997E-11</v>
      </c>
      <c r="V185" s="1">
        <v>9.2446200000000005E-11</v>
      </c>
      <c r="W185">
        <v>2.92E-2</v>
      </c>
      <c r="X185" s="1">
        <f t="shared" si="369"/>
        <v>0.4263983072334423</v>
      </c>
      <c r="Y185">
        <f t="shared" si="370"/>
        <v>2.92E-2</v>
      </c>
      <c r="AB185">
        <v>800200</v>
      </c>
      <c r="AC185" s="1">
        <v>1.43404E-10</v>
      </c>
      <c r="AD185" s="1">
        <v>1.4328533333333333E-10</v>
      </c>
      <c r="AE185">
        <v>3.3840000000000002E-2</v>
      </c>
      <c r="AF185" s="49">
        <f t="shared" si="371"/>
        <v>0.66108250392996604</v>
      </c>
      <c r="AG185">
        <f t="shared" si="372"/>
        <v>3.3840000000000002E-2</v>
      </c>
      <c r="AJ185">
        <v>800200</v>
      </c>
      <c r="AK185" s="1">
        <v>2.1516266666666666E-10</v>
      </c>
      <c r="AL185" s="1">
        <v>2.1409066666666665E-10</v>
      </c>
      <c r="AM185">
        <v>3.3599999999999998E-2</v>
      </c>
      <c r="AN185" s="49">
        <f t="shared" si="378"/>
        <v>0.99188498530200442</v>
      </c>
      <c r="AO185">
        <f t="shared" si="379"/>
        <v>3.3599999999999998E-2</v>
      </c>
      <c r="AS185" s="1"/>
      <c r="AT185" s="1"/>
      <c r="AV185" s="49"/>
      <c r="BA185" s="1"/>
      <c r="BB185" s="1"/>
      <c r="BD185" s="49"/>
    </row>
    <row r="186" spans="2:56" x14ac:dyDescent="0.25">
      <c r="B186">
        <v>805200</v>
      </c>
      <c r="C186" s="1">
        <v>1.4600366666666668E-10</v>
      </c>
      <c r="D186" s="1">
        <v>1.4588433333333334E-10</v>
      </c>
      <c r="E186">
        <v>3.5430000000000003E-2</v>
      </c>
      <c r="F186" s="49">
        <f t="shared" si="366"/>
        <v>0.67306678713952273</v>
      </c>
      <c r="G186" s="1">
        <f t="shared" si="374"/>
        <v>0.68306678713952274</v>
      </c>
      <c r="H186">
        <f t="shared" si="373"/>
        <v>3.5430000000000003E-2</v>
      </c>
      <c r="I186">
        <f t="shared" si="375"/>
        <v>3.6930000000000004E-2</v>
      </c>
      <c r="K186">
        <v>805200</v>
      </c>
      <c r="L186" s="1">
        <v>9.4133233333333328E-11</v>
      </c>
      <c r="M186" s="1">
        <v>9.4078166666666668E-11</v>
      </c>
      <c r="N186">
        <v>2.938E-2</v>
      </c>
      <c r="O186" s="1">
        <f t="shared" si="367"/>
        <v>0.43394768343298468</v>
      </c>
      <c r="P186" s="1">
        <f t="shared" si="376"/>
        <v>0.44394768343298469</v>
      </c>
      <c r="Q186">
        <f t="shared" si="368"/>
        <v>2.938E-2</v>
      </c>
      <c r="R186">
        <f t="shared" si="377"/>
        <v>2.9530000000000001E-2</v>
      </c>
      <c r="T186">
        <v>805200</v>
      </c>
      <c r="U186" s="1">
        <v>9.2488033333333331E-11</v>
      </c>
      <c r="V186" s="1">
        <v>9.2438366666666673E-11</v>
      </c>
      <c r="W186">
        <v>2.9309999999999999E-2</v>
      </c>
      <c r="X186" s="1">
        <f t="shared" si="369"/>
        <v>0.4263634254243826</v>
      </c>
      <c r="Y186">
        <f t="shared" si="370"/>
        <v>2.9309999999999999E-2</v>
      </c>
      <c r="AB186">
        <v>805200</v>
      </c>
      <c r="AC186" s="1">
        <v>1.4339300000000001E-10</v>
      </c>
      <c r="AD186" s="1">
        <v>1.4327333333333333E-10</v>
      </c>
      <c r="AE186">
        <v>3.3939999999999998E-2</v>
      </c>
      <c r="AF186" s="49">
        <f t="shared" si="371"/>
        <v>0.66103179469212581</v>
      </c>
      <c r="AG186">
        <f t="shared" si="372"/>
        <v>3.3939999999999998E-2</v>
      </c>
      <c r="AJ186">
        <v>805200</v>
      </c>
      <c r="AK186" s="1">
        <v>2.15102E-10</v>
      </c>
      <c r="AL186" s="1">
        <v>2.1402833333333336E-10</v>
      </c>
      <c r="AM186">
        <v>3.3669999999999999E-2</v>
      </c>
      <c r="AN186" s="49">
        <f t="shared" si="378"/>
        <v>0.99160531617209813</v>
      </c>
      <c r="AO186">
        <f t="shared" si="379"/>
        <v>3.3669999999999999E-2</v>
      </c>
      <c r="AS186" s="1"/>
      <c r="AT186" s="1"/>
      <c r="AV186" s="49"/>
      <c r="BA186" s="1"/>
      <c r="BB186" s="1"/>
      <c r="BD186" s="49"/>
    </row>
    <row r="187" spans="2:56" x14ac:dyDescent="0.25">
      <c r="B187">
        <v>810190</v>
      </c>
      <c r="C187" s="1">
        <v>1.4599066666666667E-10</v>
      </c>
      <c r="D187" s="1">
        <v>1.4587033333333333E-10</v>
      </c>
      <c r="E187">
        <v>3.5499999999999997E-2</v>
      </c>
      <c r="F187" s="49">
        <f t="shared" si="366"/>
        <v>0.67300685804025706</v>
      </c>
      <c r="G187" s="1">
        <f t="shared" si="374"/>
        <v>0.68300685804025707</v>
      </c>
      <c r="H187">
        <f t="shared" si="373"/>
        <v>3.5499999999999997E-2</v>
      </c>
      <c r="I187">
        <f t="shared" si="375"/>
        <v>3.6999999999999998E-2</v>
      </c>
      <c r="K187">
        <v>810190</v>
      </c>
      <c r="L187" s="1">
        <v>9.412306666666666E-11</v>
      </c>
      <c r="M187" s="1">
        <v>9.4067933333333334E-11</v>
      </c>
      <c r="N187">
        <v>2.9440000000000001E-2</v>
      </c>
      <c r="O187" s="1">
        <f t="shared" si="367"/>
        <v>0.4339008158040718</v>
      </c>
      <c r="P187" s="1">
        <f t="shared" si="376"/>
        <v>0.44390081580407181</v>
      </c>
      <c r="Q187">
        <f t="shared" si="368"/>
        <v>2.9440000000000001E-2</v>
      </c>
      <c r="R187">
        <f t="shared" si="377"/>
        <v>2.9590000000000002E-2</v>
      </c>
      <c r="T187">
        <v>810190</v>
      </c>
      <c r="U187" s="1">
        <v>9.2481866666666672E-11</v>
      </c>
      <c r="V187" s="1">
        <v>9.2431933333333336E-11</v>
      </c>
      <c r="W187">
        <v>2.9360000000000001E-2</v>
      </c>
      <c r="X187" s="1">
        <f t="shared" si="369"/>
        <v>0.42633499751832071</v>
      </c>
      <c r="Y187">
        <f t="shared" si="370"/>
        <v>2.9360000000000001E-2</v>
      </c>
      <c r="AB187">
        <v>810190</v>
      </c>
      <c r="AC187" s="1">
        <v>1.4338E-10</v>
      </c>
      <c r="AD187" s="1">
        <v>1.4326033333333335E-10</v>
      </c>
      <c r="AE187">
        <v>3.3989999999999999E-2</v>
      </c>
      <c r="AF187" s="49">
        <f t="shared" si="371"/>
        <v>0.66097186559286025</v>
      </c>
      <c r="AG187">
        <f t="shared" si="372"/>
        <v>3.3989999999999999E-2</v>
      </c>
      <c r="AJ187">
        <v>810190</v>
      </c>
      <c r="AK187" s="1">
        <v>2.1504033333333336E-10</v>
      </c>
      <c r="AL187" s="1">
        <v>2.1396566666666666E-10</v>
      </c>
      <c r="AM187">
        <v>3.3750000000000002E-2</v>
      </c>
      <c r="AN187" s="49">
        <f t="shared" si="378"/>
        <v>0.99132103711147901</v>
      </c>
      <c r="AO187">
        <f t="shared" si="379"/>
        <v>3.3750000000000002E-2</v>
      </c>
      <c r="AS187" s="1"/>
      <c r="AT187" s="1"/>
      <c r="AV187" s="49"/>
      <c r="BA187" s="1"/>
      <c r="BB187" s="1"/>
      <c r="BD187" s="49"/>
    </row>
    <row r="188" spans="2:56" x14ac:dyDescent="0.25">
      <c r="B188">
        <v>815190</v>
      </c>
      <c r="C188" s="1">
        <v>1.4597800000000001E-10</v>
      </c>
      <c r="D188" s="1">
        <v>1.45857E-10</v>
      </c>
      <c r="E188">
        <v>3.5610000000000003E-2</v>
      </c>
      <c r="F188" s="49">
        <f t="shared" si="366"/>
        <v>0.67294846558456245</v>
      </c>
      <c r="G188" s="1">
        <f t="shared" si="374"/>
        <v>0.68294846558456246</v>
      </c>
      <c r="H188">
        <f t="shared" si="373"/>
        <v>3.5610000000000003E-2</v>
      </c>
      <c r="I188">
        <f t="shared" si="375"/>
        <v>3.7110000000000004E-2</v>
      </c>
      <c r="K188">
        <v>815190</v>
      </c>
      <c r="L188" s="1">
        <v>9.4115999999999998E-11</v>
      </c>
      <c r="M188" s="1">
        <v>9.4060500000000001E-11</v>
      </c>
      <c r="N188">
        <v>2.9520000000000001E-2</v>
      </c>
      <c r="O188" s="1">
        <f t="shared" si="367"/>
        <v>0.43386823896036841</v>
      </c>
      <c r="P188" s="1">
        <f t="shared" si="376"/>
        <v>0.44386823896036842</v>
      </c>
      <c r="Q188">
        <f t="shared" si="368"/>
        <v>2.9520000000000001E-2</v>
      </c>
      <c r="R188">
        <f t="shared" si="377"/>
        <v>2.9670000000000002E-2</v>
      </c>
      <c r="T188">
        <v>815190</v>
      </c>
      <c r="U188" s="1">
        <v>9.2473166666666664E-11</v>
      </c>
      <c r="V188" s="1">
        <v>9.2423066666666669E-11</v>
      </c>
      <c r="W188">
        <v>2.9440000000000001E-2</v>
      </c>
      <c r="X188" s="1">
        <f t="shared" si="369"/>
        <v>0.42629489112111979</v>
      </c>
      <c r="Y188">
        <f t="shared" si="370"/>
        <v>2.9440000000000001E-2</v>
      </c>
      <c r="AB188">
        <v>815190</v>
      </c>
      <c r="AC188" s="1">
        <v>1.4336633333333333E-10</v>
      </c>
      <c r="AD188" s="1">
        <v>1.4324633333333333E-10</v>
      </c>
      <c r="AE188">
        <v>3.4079999999999999E-2</v>
      </c>
      <c r="AF188" s="49">
        <f t="shared" si="371"/>
        <v>0.6609088632064527</v>
      </c>
      <c r="AG188">
        <f t="shared" si="372"/>
        <v>3.4079999999999999E-2</v>
      </c>
      <c r="AJ188">
        <v>815190</v>
      </c>
      <c r="AK188" s="1">
        <v>2.1497900000000001E-10</v>
      </c>
      <c r="AL188" s="1">
        <v>2.1390233333333332E-10</v>
      </c>
      <c r="AM188">
        <v>3.381E-2</v>
      </c>
      <c r="AN188" s="49">
        <f t="shared" si="378"/>
        <v>0.99103829469443083</v>
      </c>
      <c r="AO188">
        <f t="shared" si="379"/>
        <v>3.381E-2</v>
      </c>
      <c r="AS188" s="1"/>
      <c r="AT188" s="1"/>
      <c r="AV188" s="49"/>
      <c r="BA188" s="1"/>
      <c r="BB188" s="1"/>
      <c r="BD188" s="49"/>
    </row>
    <row r="189" spans="2:56" x14ac:dyDescent="0.25">
      <c r="B189">
        <v>820180</v>
      </c>
      <c r="C189" s="1">
        <v>1.4596266666666666E-10</v>
      </c>
      <c r="D189" s="1">
        <v>1.4584166666666666E-10</v>
      </c>
      <c r="E189">
        <v>3.5680000000000003E-2</v>
      </c>
      <c r="F189" s="49">
        <f t="shared" si="366"/>
        <v>0.67287777998030029</v>
      </c>
      <c r="G189" s="1">
        <f t="shared" si="374"/>
        <v>0.6828777799803003</v>
      </c>
      <c r="H189">
        <f t="shared" si="373"/>
        <v>3.5680000000000003E-2</v>
      </c>
      <c r="I189">
        <f t="shared" si="375"/>
        <v>3.7180000000000005E-2</v>
      </c>
      <c r="K189">
        <v>820180</v>
      </c>
      <c r="L189" s="1">
        <v>9.4111333333333339E-11</v>
      </c>
      <c r="M189" s="1">
        <v>9.405543333333333E-11</v>
      </c>
      <c r="N189">
        <v>2.9590000000000002E-2</v>
      </c>
      <c r="O189" s="1">
        <f t="shared" si="367"/>
        <v>0.43384672595037571</v>
      </c>
      <c r="P189" s="1">
        <f t="shared" si="376"/>
        <v>0.44384672595037572</v>
      </c>
      <c r="Q189">
        <f t="shared" si="368"/>
        <v>2.9590000000000002E-2</v>
      </c>
      <c r="R189">
        <f t="shared" si="377"/>
        <v>2.9740000000000003E-2</v>
      </c>
      <c r="T189">
        <v>820180</v>
      </c>
      <c r="U189" s="1">
        <v>9.2467099999999998E-11</v>
      </c>
      <c r="V189" s="1">
        <v>9.2416666666666671E-11</v>
      </c>
      <c r="W189">
        <v>2.9499999999999998E-2</v>
      </c>
      <c r="X189" s="1">
        <f t="shared" si="369"/>
        <v>0.42626692420812917</v>
      </c>
      <c r="Y189">
        <f t="shared" si="370"/>
        <v>2.9499999999999998E-2</v>
      </c>
      <c r="AB189">
        <v>820180</v>
      </c>
      <c r="AC189" s="1">
        <v>1.4335333333333332E-10</v>
      </c>
      <c r="AD189" s="1">
        <v>1.4323233333333334E-10</v>
      </c>
      <c r="AE189">
        <v>3.415E-2</v>
      </c>
      <c r="AF189" s="49">
        <f t="shared" si="371"/>
        <v>0.66084893410718704</v>
      </c>
      <c r="AG189">
        <f t="shared" si="372"/>
        <v>3.415E-2</v>
      </c>
      <c r="AJ189">
        <v>820180</v>
      </c>
      <c r="AK189" s="1">
        <v>2.1490766666666667E-10</v>
      </c>
      <c r="AL189" s="1">
        <v>2.1383E-10</v>
      </c>
      <c r="AM189">
        <v>3.3890000000000003E-2</v>
      </c>
      <c r="AN189" s="49">
        <f t="shared" si="378"/>
        <v>0.99070945297025537</v>
      </c>
      <c r="AO189">
        <f t="shared" si="379"/>
        <v>3.3890000000000003E-2</v>
      </c>
      <c r="AS189" s="1"/>
      <c r="AT189" s="1"/>
      <c r="AV189" s="49"/>
      <c r="BA189" s="1"/>
      <c r="BB189" s="1"/>
      <c r="BD189" s="49"/>
    </row>
    <row r="190" spans="2:56" x14ac:dyDescent="0.25">
      <c r="B190">
        <v>825180</v>
      </c>
      <c r="C190" s="1">
        <v>1.4594566666666667E-10</v>
      </c>
      <c r="D190" s="1">
        <v>1.4582400000000003E-10</v>
      </c>
      <c r="E190">
        <v>3.5790000000000002E-2</v>
      </c>
      <c r="F190" s="49">
        <f t="shared" si="366"/>
        <v>0.67279941115818365</v>
      </c>
      <c r="G190" s="1">
        <f t="shared" si="374"/>
        <v>0.68279941115818366</v>
      </c>
      <c r="H190">
        <f t="shared" si="373"/>
        <v>3.5790000000000002E-2</v>
      </c>
      <c r="I190">
        <f t="shared" si="375"/>
        <v>3.7290000000000004E-2</v>
      </c>
      <c r="K190">
        <v>825180</v>
      </c>
      <c r="L190" s="1">
        <v>9.4106233333333342E-11</v>
      </c>
      <c r="M190" s="1">
        <v>9.4050299999999993E-11</v>
      </c>
      <c r="N190">
        <v>2.964E-2</v>
      </c>
      <c r="O190" s="1">
        <f t="shared" si="367"/>
        <v>0.43382321530374068</v>
      </c>
      <c r="P190" s="1">
        <f t="shared" si="376"/>
        <v>0.44382321530374069</v>
      </c>
      <c r="Q190">
        <f t="shared" si="368"/>
        <v>2.964E-2</v>
      </c>
      <c r="R190">
        <f t="shared" si="377"/>
        <v>2.9790000000000001E-2</v>
      </c>
      <c r="T190">
        <v>825180</v>
      </c>
      <c r="U190" s="1">
        <v>9.2457299999999989E-11</v>
      </c>
      <c r="V190" s="1">
        <v>9.2406633333333323E-11</v>
      </c>
      <c r="W190">
        <v>2.9579999999999999E-2</v>
      </c>
      <c r="X190" s="1">
        <f t="shared" si="369"/>
        <v>0.42622174688714426</v>
      </c>
      <c r="Y190">
        <f t="shared" si="370"/>
        <v>2.9579999999999999E-2</v>
      </c>
      <c r="AB190">
        <v>825180</v>
      </c>
      <c r="AC190" s="1">
        <v>1.4334299999999999E-10</v>
      </c>
      <c r="AD190" s="1">
        <v>1.4322100000000001E-10</v>
      </c>
      <c r="AE190">
        <v>3.4229999999999997E-2</v>
      </c>
      <c r="AF190" s="49">
        <f t="shared" si="371"/>
        <v>0.6608012981564888</v>
      </c>
      <c r="AG190">
        <f t="shared" si="372"/>
        <v>3.4229999999999997E-2</v>
      </c>
      <c r="AJ190">
        <v>825180</v>
      </c>
      <c r="AK190" s="1">
        <v>2.1478466666666665E-10</v>
      </c>
      <c r="AL190" s="1">
        <v>2.1370566666666668E-10</v>
      </c>
      <c r="AM190">
        <v>3.3930000000000002E-2</v>
      </c>
      <c r="AN190" s="49">
        <f t="shared" si="378"/>
        <v>0.99014243149258796</v>
      </c>
      <c r="AO190">
        <f t="shared" si="379"/>
        <v>3.3930000000000002E-2</v>
      </c>
      <c r="AS190" s="1"/>
      <c r="AT190" s="1"/>
      <c r="AV190" s="49"/>
      <c r="BA190" s="1"/>
      <c r="BB190" s="1"/>
      <c r="BD190" s="49"/>
    </row>
    <row r="191" spans="2:56" x14ac:dyDescent="0.25">
      <c r="B191">
        <v>830170</v>
      </c>
      <c r="C191" s="1">
        <v>1.4593000000000001E-10</v>
      </c>
      <c r="D191" s="1">
        <v>1.4580766666666668E-10</v>
      </c>
      <c r="E191">
        <v>3.5869999999999999E-2</v>
      </c>
      <c r="F191" s="49">
        <f t="shared" si="366"/>
        <v>0.67272718891035077</v>
      </c>
      <c r="G191" s="1">
        <f t="shared" si="374"/>
        <v>0.68272718891035078</v>
      </c>
      <c r="H191">
        <f t="shared" si="373"/>
        <v>3.5869999999999999E-2</v>
      </c>
      <c r="I191">
        <f t="shared" si="375"/>
        <v>3.737E-2</v>
      </c>
      <c r="K191">
        <v>830170</v>
      </c>
      <c r="L191" s="1">
        <v>9.410376666666666E-11</v>
      </c>
      <c r="M191" s="1">
        <v>9.4047766666666684E-11</v>
      </c>
      <c r="N191">
        <v>2.972E-2</v>
      </c>
      <c r="O191" s="1">
        <f t="shared" si="367"/>
        <v>0.43381184414131585</v>
      </c>
      <c r="P191" s="1">
        <f t="shared" si="376"/>
        <v>0.44381184414131586</v>
      </c>
      <c r="Q191">
        <f t="shared" si="368"/>
        <v>2.972E-2</v>
      </c>
      <c r="R191">
        <f t="shared" si="377"/>
        <v>2.9870000000000001E-2</v>
      </c>
      <c r="T191">
        <v>830170</v>
      </c>
      <c r="U191" s="1">
        <v>9.2451599999999981E-11</v>
      </c>
      <c r="V191" s="1">
        <v>9.2400633333333336E-11</v>
      </c>
      <c r="W191">
        <v>2.964E-2</v>
      </c>
      <c r="X191" s="1">
        <f t="shared" si="369"/>
        <v>0.4261954702820816</v>
      </c>
      <c r="Y191">
        <f t="shared" si="370"/>
        <v>2.964E-2</v>
      </c>
      <c r="AB191">
        <v>830170</v>
      </c>
      <c r="AC191" s="1">
        <v>1.4333066666666667E-10</v>
      </c>
      <c r="AD191" s="1">
        <v>1.4320833333333334E-10</v>
      </c>
      <c r="AE191">
        <v>3.431E-2</v>
      </c>
      <c r="AF191" s="49">
        <f t="shared" si="371"/>
        <v>0.66074444234436502</v>
      </c>
      <c r="AG191">
        <f t="shared" si="372"/>
        <v>3.431E-2</v>
      </c>
      <c r="AJ191">
        <v>830170</v>
      </c>
      <c r="AK191" s="1">
        <v>2.1465233333333334E-10</v>
      </c>
      <c r="AL191" s="1">
        <v>2.1357299999999997E-10</v>
      </c>
      <c r="AM191">
        <v>3.4040000000000001E-2</v>
      </c>
      <c r="AN191" s="49">
        <f t="shared" si="378"/>
        <v>0.98953238399493537</v>
      </c>
      <c r="AO191">
        <f t="shared" si="379"/>
        <v>3.4040000000000001E-2</v>
      </c>
      <c r="AS191" s="1"/>
      <c r="AT191" s="1"/>
      <c r="AV191" s="49"/>
      <c r="BA191" s="1"/>
      <c r="BB191" s="1"/>
      <c r="BD191" s="49"/>
    </row>
    <row r="192" spans="2:56" x14ac:dyDescent="0.25">
      <c r="B192">
        <v>835170</v>
      </c>
      <c r="C192" s="1">
        <v>1.4591433333333334E-10</v>
      </c>
      <c r="D192" s="1">
        <v>1.45791E-10</v>
      </c>
      <c r="E192">
        <v>3.5959999999999999E-2</v>
      </c>
      <c r="F192" s="49">
        <f t="shared" si="366"/>
        <v>0.67265496666251778</v>
      </c>
      <c r="G192" s="1">
        <f t="shared" si="374"/>
        <v>0.68265496666251779</v>
      </c>
      <c r="H192">
        <f t="shared" si="373"/>
        <v>3.5959999999999999E-2</v>
      </c>
      <c r="I192">
        <f t="shared" si="375"/>
        <v>3.746E-2</v>
      </c>
      <c r="K192">
        <v>835170</v>
      </c>
      <c r="L192" s="1">
        <v>9.4095199999999998E-11</v>
      </c>
      <c r="M192" s="1">
        <v>9.4038799999999998E-11</v>
      </c>
      <c r="N192">
        <v>2.9780000000000001E-2</v>
      </c>
      <c r="O192" s="1">
        <f t="shared" si="367"/>
        <v>0.43377235240154344</v>
      </c>
      <c r="P192" s="1">
        <f t="shared" si="376"/>
        <v>0.44377235240154345</v>
      </c>
      <c r="Q192">
        <f t="shared" si="368"/>
        <v>2.9780000000000001E-2</v>
      </c>
      <c r="R192">
        <f t="shared" si="377"/>
        <v>2.9930000000000002E-2</v>
      </c>
      <c r="T192">
        <v>835170</v>
      </c>
      <c r="U192" s="1">
        <v>9.2446066666666659E-11</v>
      </c>
      <c r="V192" s="1">
        <v>9.2394866666666662E-11</v>
      </c>
      <c r="W192">
        <v>2.971E-2</v>
      </c>
      <c r="X192" s="1">
        <f t="shared" si="369"/>
        <v>0.42616996199880453</v>
      </c>
      <c r="Y192">
        <f t="shared" si="370"/>
        <v>2.971E-2</v>
      </c>
      <c r="AB192">
        <v>835170</v>
      </c>
      <c r="AC192" s="1">
        <v>1.4331833333333333E-10</v>
      </c>
      <c r="AD192" s="1">
        <v>1.4319533333333333E-10</v>
      </c>
      <c r="AE192">
        <v>3.4410000000000003E-2</v>
      </c>
      <c r="AF192" s="49">
        <f t="shared" si="371"/>
        <v>0.66068758653224113</v>
      </c>
      <c r="AG192">
        <f t="shared" si="372"/>
        <v>3.4410000000000003E-2</v>
      </c>
      <c r="AJ192">
        <v>835170</v>
      </c>
      <c r="AK192" s="1">
        <v>2.1454266666666665E-10</v>
      </c>
      <c r="AL192" s="1">
        <v>2.1346233333333332E-10</v>
      </c>
      <c r="AM192">
        <v>3.4110000000000001E-2</v>
      </c>
      <c r="AN192" s="49">
        <f t="shared" si="378"/>
        <v>0.98902682826010446</v>
      </c>
      <c r="AO192">
        <f t="shared" si="379"/>
        <v>3.4110000000000001E-2</v>
      </c>
      <c r="AS192" s="1"/>
      <c r="AT192" s="1"/>
      <c r="AV192" s="49"/>
      <c r="BA192" s="1"/>
      <c r="BB192" s="1"/>
      <c r="BD192" s="49"/>
    </row>
    <row r="193" spans="2:56" x14ac:dyDescent="0.25">
      <c r="B193">
        <v>840160</v>
      </c>
      <c r="C193" s="1">
        <v>1.4589599999999997E-10</v>
      </c>
      <c r="D193" s="1">
        <v>1.45772E-10</v>
      </c>
      <c r="E193">
        <v>3.603E-2</v>
      </c>
      <c r="F193" s="49">
        <f t="shared" si="366"/>
        <v>0.67257045126611747</v>
      </c>
      <c r="G193" s="1">
        <f t="shared" si="374"/>
        <v>0.68257045126611748</v>
      </c>
      <c r="H193">
        <f t="shared" si="373"/>
        <v>3.603E-2</v>
      </c>
      <c r="I193">
        <f t="shared" si="375"/>
        <v>3.7530000000000001E-2</v>
      </c>
      <c r="K193">
        <v>840160</v>
      </c>
      <c r="L193" s="1">
        <v>9.408973333333333E-11</v>
      </c>
      <c r="M193" s="1">
        <v>9.4033333333333329E-11</v>
      </c>
      <c r="N193">
        <v>2.9860000000000001E-2</v>
      </c>
      <c r="O193" s="1">
        <f t="shared" si="367"/>
        <v>0.43374715144698039</v>
      </c>
      <c r="P193" s="1">
        <f t="shared" si="376"/>
        <v>0.4437471514469804</v>
      </c>
      <c r="Q193">
        <f t="shared" si="368"/>
        <v>2.9860000000000001E-2</v>
      </c>
      <c r="R193">
        <f t="shared" si="377"/>
        <v>3.0010000000000002E-2</v>
      </c>
      <c r="T193">
        <v>840160</v>
      </c>
      <c r="U193" s="1">
        <v>9.2437133333333326E-11</v>
      </c>
      <c r="V193" s="1">
        <v>9.2385700000000003E-11</v>
      </c>
      <c r="W193">
        <v>2.9749999999999999E-2</v>
      </c>
      <c r="X193" s="1">
        <f t="shared" si="369"/>
        <v>0.42612877995110404</v>
      </c>
      <c r="Y193">
        <f t="shared" si="370"/>
        <v>2.9749999999999999E-2</v>
      </c>
      <c r="AB193">
        <v>840160</v>
      </c>
      <c r="AC193" s="1">
        <v>1.4330766666666663E-10</v>
      </c>
      <c r="AD193" s="1">
        <v>1.4318433333333332E-10</v>
      </c>
      <c r="AE193">
        <v>3.4479999999999997E-2</v>
      </c>
      <c r="AF193" s="49">
        <f t="shared" si="371"/>
        <v>0.66063841393797174</v>
      </c>
      <c r="AG193">
        <f t="shared" si="372"/>
        <v>3.4479999999999997E-2</v>
      </c>
      <c r="AJ193">
        <v>840160</v>
      </c>
      <c r="AK193" s="1">
        <v>2.14493E-10</v>
      </c>
      <c r="AL193" s="1">
        <v>2.1341100000000002E-10</v>
      </c>
      <c r="AM193">
        <v>3.4139999999999997E-2</v>
      </c>
      <c r="AN193" s="49">
        <f t="shared" si="378"/>
        <v>0.98879786836803851</v>
      </c>
      <c r="AO193">
        <f t="shared" si="379"/>
        <v>3.4139999999999997E-2</v>
      </c>
      <c r="AS193" s="1"/>
      <c r="AT193" s="1"/>
      <c r="AV193" s="49"/>
      <c r="BA193" s="1"/>
      <c r="BB193" s="1"/>
      <c r="BD193" s="49"/>
    </row>
    <row r="194" spans="2:56" x14ac:dyDescent="0.25">
      <c r="B194">
        <v>845160</v>
      </c>
      <c r="C194" s="1">
        <v>1.45881E-10</v>
      </c>
      <c r="D194" s="1">
        <v>1.45757E-10</v>
      </c>
      <c r="E194">
        <v>3.6130000000000002E-2</v>
      </c>
      <c r="F194" s="49">
        <f t="shared" si="366"/>
        <v>0.67250130230542637</v>
      </c>
      <c r="G194" s="1">
        <f t="shared" si="374"/>
        <v>0.68250130230542638</v>
      </c>
      <c r="H194">
        <f t="shared" si="373"/>
        <v>3.6130000000000002E-2</v>
      </c>
      <c r="I194">
        <f t="shared" si="375"/>
        <v>3.7630000000000004E-2</v>
      </c>
      <c r="K194">
        <v>845160</v>
      </c>
      <c r="L194" s="1">
        <v>9.4085066666666657E-11</v>
      </c>
      <c r="M194" s="1">
        <v>9.4027933333333327E-11</v>
      </c>
      <c r="N194">
        <v>2.9929999999999998E-2</v>
      </c>
      <c r="O194" s="1">
        <f t="shared" si="367"/>
        <v>0.43372563843698764</v>
      </c>
      <c r="P194" s="1">
        <f t="shared" si="376"/>
        <v>0.44372563843698765</v>
      </c>
      <c r="Q194">
        <f t="shared" si="368"/>
        <v>2.9929999999999998E-2</v>
      </c>
      <c r="R194">
        <f t="shared" si="377"/>
        <v>3.0079999999999999E-2</v>
      </c>
      <c r="T194">
        <v>845160</v>
      </c>
      <c r="U194" s="1">
        <v>9.243033333333333E-11</v>
      </c>
      <c r="V194" s="1">
        <v>9.2378666666666668E-11</v>
      </c>
      <c r="W194">
        <v>2.9860000000000001E-2</v>
      </c>
      <c r="X194" s="1">
        <f t="shared" si="369"/>
        <v>0.42609743242225734</v>
      </c>
      <c r="Y194">
        <f t="shared" si="370"/>
        <v>2.9860000000000001E-2</v>
      </c>
      <c r="AB194">
        <v>845160</v>
      </c>
      <c r="AC194" s="1">
        <v>1.4329499999999999E-10</v>
      </c>
      <c r="AD194" s="1">
        <v>1.4317100000000002E-10</v>
      </c>
      <c r="AE194">
        <v>3.4520000000000002E-2</v>
      </c>
      <c r="AF194" s="49">
        <f t="shared" si="371"/>
        <v>0.66058002148227724</v>
      </c>
      <c r="AG194">
        <f t="shared" si="372"/>
        <v>3.4520000000000002E-2</v>
      </c>
      <c r="AJ194">
        <v>845160</v>
      </c>
      <c r="AK194" s="1">
        <v>2.1445066666666668E-10</v>
      </c>
      <c r="AL194" s="1">
        <v>2.1336766666666667E-10</v>
      </c>
      <c r="AM194">
        <v>3.424E-2</v>
      </c>
      <c r="AN194" s="49">
        <f t="shared" si="378"/>
        <v>0.98860271463453264</v>
      </c>
      <c r="AO194">
        <f t="shared" si="379"/>
        <v>3.424E-2</v>
      </c>
      <c r="AS194" s="1"/>
      <c r="AT194" s="1"/>
      <c r="AV194" s="49"/>
      <c r="BA194" s="1"/>
      <c r="BB194" s="1"/>
      <c r="BD194" s="49"/>
    </row>
    <row r="195" spans="2:56" x14ac:dyDescent="0.25">
      <c r="B195">
        <v>850150</v>
      </c>
      <c r="C195" s="1">
        <v>1.4586633333333332E-10</v>
      </c>
      <c r="D195" s="1">
        <v>1.4574166666666668E-10</v>
      </c>
      <c r="E195">
        <v>3.6220000000000002E-2</v>
      </c>
      <c r="F195" s="49">
        <f t="shared" si="366"/>
        <v>0.67243368998830622</v>
      </c>
      <c r="G195" s="1">
        <f t="shared" si="374"/>
        <v>0.68243368998830622</v>
      </c>
      <c r="H195">
        <f t="shared" si="373"/>
        <v>3.6220000000000002E-2</v>
      </c>
      <c r="I195">
        <f t="shared" si="375"/>
        <v>3.7720000000000004E-2</v>
      </c>
      <c r="K195">
        <v>850150</v>
      </c>
      <c r="L195" s="1">
        <v>9.4079533333333335E-11</v>
      </c>
      <c r="M195" s="1">
        <v>9.4022033333333333E-11</v>
      </c>
      <c r="N195">
        <v>2.997E-2</v>
      </c>
      <c r="O195" s="1">
        <f t="shared" si="367"/>
        <v>0.43370013015371045</v>
      </c>
      <c r="P195" s="1">
        <f t="shared" si="376"/>
        <v>0.44370013015371046</v>
      </c>
      <c r="Q195">
        <f t="shared" si="368"/>
        <v>2.997E-2</v>
      </c>
      <c r="R195">
        <f t="shared" si="377"/>
        <v>3.0120000000000001E-2</v>
      </c>
      <c r="T195">
        <v>850150</v>
      </c>
      <c r="U195" s="1">
        <v>9.2423333333333334E-11</v>
      </c>
      <c r="V195" s="1">
        <v>9.237146666666666E-11</v>
      </c>
      <c r="W195">
        <v>2.9929999999999998E-2</v>
      </c>
      <c r="X195" s="1">
        <f t="shared" si="369"/>
        <v>0.42606516290726826</v>
      </c>
      <c r="Y195">
        <f t="shared" si="370"/>
        <v>2.9929999999999998E-2</v>
      </c>
      <c r="AB195">
        <v>850150</v>
      </c>
      <c r="AC195" s="1">
        <v>1.4328066666666668E-10</v>
      </c>
      <c r="AD195" s="1">
        <v>1.4315666666666668E-10</v>
      </c>
      <c r="AE195">
        <v>3.465E-2</v>
      </c>
      <c r="AF195" s="49">
        <f t="shared" si="371"/>
        <v>0.66051394580872802</v>
      </c>
      <c r="AG195">
        <f t="shared" si="372"/>
        <v>3.465E-2</v>
      </c>
      <c r="AJ195">
        <v>850150</v>
      </c>
      <c r="AK195" s="1">
        <v>2.14397E-10</v>
      </c>
      <c r="AL195" s="1">
        <v>2.1331166666666668E-10</v>
      </c>
      <c r="AM195">
        <v>3.4329999999999999E-2</v>
      </c>
      <c r="AN195" s="49">
        <f t="shared" si="378"/>
        <v>0.98835531501961538</v>
      </c>
      <c r="AO195">
        <f t="shared" si="379"/>
        <v>3.4329999999999999E-2</v>
      </c>
      <c r="AS195" s="1"/>
      <c r="AT195" s="1"/>
      <c r="AV195" s="49"/>
      <c r="BA195" s="1"/>
      <c r="BB195" s="1"/>
      <c r="BD195" s="49"/>
    </row>
    <row r="196" spans="2:56" x14ac:dyDescent="0.25">
      <c r="B196">
        <v>855150</v>
      </c>
      <c r="C196" s="1">
        <v>1.4585266666666667E-10</v>
      </c>
      <c r="D196" s="1">
        <v>1.4572733333333332E-10</v>
      </c>
      <c r="E196">
        <v>3.6299999999999999E-2</v>
      </c>
      <c r="F196" s="49">
        <f t="shared" si="366"/>
        <v>0.67237068760189866</v>
      </c>
      <c r="G196" s="1">
        <f t="shared" si="374"/>
        <v>0.68237068760189867</v>
      </c>
      <c r="H196">
        <f t="shared" si="373"/>
        <v>3.6299999999999999E-2</v>
      </c>
      <c r="I196">
        <f t="shared" si="375"/>
        <v>3.78E-2</v>
      </c>
      <c r="K196">
        <v>855150</v>
      </c>
      <c r="L196" s="1">
        <v>9.4073599999999989E-11</v>
      </c>
      <c r="M196" s="1">
        <v>9.4015766666666668E-11</v>
      </c>
      <c r="N196">
        <v>3.005E-2</v>
      </c>
      <c r="O196" s="1">
        <f t="shared" si="367"/>
        <v>0.43367277789814818</v>
      </c>
      <c r="P196" s="1">
        <f t="shared" si="376"/>
        <v>0.44367277789814819</v>
      </c>
      <c r="Q196">
        <f t="shared" si="368"/>
        <v>3.005E-2</v>
      </c>
      <c r="R196">
        <f t="shared" si="377"/>
        <v>3.0200000000000001E-2</v>
      </c>
      <c r="T196">
        <v>855150</v>
      </c>
      <c r="U196" s="1">
        <v>9.2416266666666659E-11</v>
      </c>
      <c r="V196" s="1">
        <v>9.2364133333333333E-11</v>
      </c>
      <c r="W196">
        <v>2.9989999999999999E-2</v>
      </c>
      <c r="X196" s="1">
        <f t="shared" si="369"/>
        <v>0.42603258606356476</v>
      </c>
      <c r="Y196">
        <f t="shared" si="370"/>
        <v>2.9989999999999999E-2</v>
      </c>
      <c r="AB196">
        <v>855150</v>
      </c>
      <c r="AC196" s="1">
        <v>1.4327066666666668E-10</v>
      </c>
      <c r="AD196" s="1">
        <v>1.4314533333333335E-10</v>
      </c>
      <c r="AE196">
        <v>3.4720000000000001E-2</v>
      </c>
      <c r="AF196" s="49">
        <f t="shared" si="371"/>
        <v>0.66046784650160051</v>
      </c>
      <c r="AG196">
        <f t="shared" si="372"/>
        <v>3.4720000000000001E-2</v>
      </c>
      <c r="AJ196">
        <v>855150</v>
      </c>
      <c r="AK196" s="1">
        <v>2.1433999999999998E-10</v>
      </c>
      <c r="AL196" s="1">
        <v>2.1325333333333333E-10</v>
      </c>
      <c r="AM196">
        <v>3.4369999999999998E-2</v>
      </c>
      <c r="AN196" s="49">
        <f t="shared" si="378"/>
        <v>0.98809254896898902</v>
      </c>
      <c r="AO196">
        <f t="shared" si="379"/>
        <v>3.4369999999999998E-2</v>
      </c>
      <c r="AS196" s="1"/>
      <c r="AT196" s="1"/>
      <c r="AV196" s="49"/>
      <c r="BA196" s="1"/>
      <c r="BB196" s="1"/>
      <c r="BD196" s="49"/>
    </row>
    <row r="197" spans="2:56" x14ac:dyDescent="0.25">
      <c r="B197">
        <v>860140</v>
      </c>
      <c r="C197" s="1">
        <v>1.4583566666666668E-10</v>
      </c>
      <c r="D197" s="1">
        <v>1.4571000000000001E-10</v>
      </c>
      <c r="E197">
        <v>3.6380000000000003E-2</v>
      </c>
      <c r="F197" s="49">
        <f t="shared" si="366"/>
        <v>0.67229231877978224</v>
      </c>
      <c r="G197" s="1">
        <f t="shared" si="374"/>
        <v>0.68229231877978225</v>
      </c>
      <c r="H197">
        <f t="shared" si="373"/>
        <v>3.6380000000000003E-2</v>
      </c>
      <c r="I197">
        <f t="shared" si="375"/>
        <v>3.7880000000000004E-2</v>
      </c>
      <c r="K197">
        <v>860140</v>
      </c>
      <c r="L197" s="1">
        <v>9.4062066666666654E-11</v>
      </c>
      <c r="M197" s="1">
        <v>9.4003833333333335E-11</v>
      </c>
      <c r="N197">
        <v>3.0120000000000001E-2</v>
      </c>
      <c r="O197" s="1">
        <f t="shared" si="367"/>
        <v>0.43361961003059452</v>
      </c>
      <c r="P197" s="1">
        <f t="shared" si="376"/>
        <v>0.44361961003059452</v>
      </c>
      <c r="Q197">
        <f t="shared" si="368"/>
        <v>3.0120000000000001E-2</v>
      </c>
      <c r="R197">
        <f t="shared" si="377"/>
        <v>3.0270000000000002E-2</v>
      </c>
      <c r="T197">
        <v>860140</v>
      </c>
      <c r="U197" s="1">
        <v>9.2408400000000001E-11</v>
      </c>
      <c r="V197" s="1">
        <v>9.2356066666666663E-11</v>
      </c>
      <c r="W197">
        <v>3.006E-2</v>
      </c>
      <c r="X197" s="1">
        <f t="shared" si="369"/>
        <v>0.42599632127529125</v>
      </c>
      <c r="Y197">
        <f t="shared" si="370"/>
        <v>3.006E-2</v>
      </c>
      <c r="AB197">
        <v>860140</v>
      </c>
      <c r="AC197" s="1">
        <v>1.43259E-10</v>
      </c>
      <c r="AD197" s="1">
        <v>1.4313366666666666E-10</v>
      </c>
      <c r="AE197">
        <v>3.4790000000000001E-2</v>
      </c>
      <c r="AF197" s="49">
        <f t="shared" si="371"/>
        <v>0.66041406397661839</v>
      </c>
      <c r="AG197">
        <f t="shared" si="372"/>
        <v>3.4790000000000001E-2</v>
      </c>
      <c r="AJ197">
        <v>860140</v>
      </c>
      <c r="AK197" s="1">
        <v>2.1429466666666666E-10</v>
      </c>
      <c r="AL197" s="1">
        <v>2.1320666666666666E-10</v>
      </c>
      <c r="AM197">
        <v>3.4450000000000001E-2</v>
      </c>
      <c r="AN197" s="49">
        <f t="shared" si="378"/>
        <v>0.98788356544334477</v>
      </c>
      <c r="AO197">
        <f t="shared" si="379"/>
        <v>3.4450000000000001E-2</v>
      </c>
      <c r="AS197" s="1"/>
      <c r="AT197" s="1"/>
      <c r="AV197" s="49"/>
      <c r="BA197" s="1"/>
      <c r="BB197" s="1"/>
      <c r="BD197" s="49"/>
    </row>
    <row r="198" spans="2:56" x14ac:dyDescent="0.25">
      <c r="B198">
        <v>865140</v>
      </c>
      <c r="C198" s="1">
        <v>1.4581933333333333E-10</v>
      </c>
      <c r="D198" s="1">
        <v>1.4569333333333333E-10</v>
      </c>
      <c r="E198">
        <v>3.6459999999999999E-2</v>
      </c>
      <c r="F198" s="49">
        <f t="shared" si="366"/>
        <v>0.67221702324480737</v>
      </c>
      <c r="G198" s="1">
        <f t="shared" si="374"/>
        <v>0.68221702324480737</v>
      </c>
      <c r="H198">
        <f t="shared" si="373"/>
        <v>3.6459999999999999E-2</v>
      </c>
      <c r="I198">
        <f t="shared" si="375"/>
        <v>3.7960000000000001E-2</v>
      </c>
      <c r="K198">
        <v>865140</v>
      </c>
      <c r="L198" s="1">
        <v>9.4056099999999994E-11</v>
      </c>
      <c r="M198" s="1">
        <v>9.3997500000000016E-11</v>
      </c>
      <c r="N198">
        <v>3.0190000000000002E-2</v>
      </c>
      <c r="O198" s="1">
        <f t="shared" si="367"/>
        <v>0.43359210411067517</v>
      </c>
      <c r="P198" s="1">
        <f t="shared" si="376"/>
        <v>0.44359210411067518</v>
      </c>
      <c r="Q198">
        <f t="shared" si="368"/>
        <v>3.0190000000000002E-2</v>
      </c>
      <c r="R198">
        <f t="shared" si="377"/>
        <v>3.0340000000000002E-2</v>
      </c>
      <c r="T198">
        <v>865140</v>
      </c>
      <c r="U198" s="1">
        <v>9.2400466666666676E-11</v>
      </c>
      <c r="V198" s="1">
        <v>9.2347800000000006E-11</v>
      </c>
      <c r="W198">
        <v>3.0130000000000001E-2</v>
      </c>
      <c r="X198" s="1">
        <f t="shared" si="369"/>
        <v>0.42595974915830354</v>
      </c>
      <c r="Y198">
        <f t="shared" si="370"/>
        <v>3.0130000000000001E-2</v>
      </c>
      <c r="AB198">
        <v>865140</v>
      </c>
      <c r="AC198" s="1">
        <v>1.4324500000000001E-10</v>
      </c>
      <c r="AD198" s="1">
        <v>1.4311833333333332E-10</v>
      </c>
      <c r="AE198">
        <v>3.4860000000000002E-2</v>
      </c>
      <c r="AF198" s="49">
        <f t="shared" si="371"/>
        <v>0.66034952494664012</v>
      </c>
      <c r="AG198">
        <f t="shared" si="372"/>
        <v>3.4860000000000002E-2</v>
      </c>
      <c r="AJ198">
        <v>865140</v>
      </c>
      <c r="AK198" s="1">
        <v>2.1424433333333335E-10</v>
      </c>
      <c r="AL198" s="1">
        <v>2.1315533333333332E-10</v>
      </c>
      <c r="AM198">
        <v>3.4520000000000002E-2</v>
      </c>
      <c r="AN198" s="49">
        <f t="shared" si="378"/>
        <v>0.98765153226413682</v>
      </c>
      <c r="AO198">
        <f t="shared" si="379"/>
        <v>3.4520000000000002E-2</v>
      </c>
      <c r="AS198" s="1"/>
      <c r="AT198" s="1"/>
      <c r="AV198" s="49"/>
      <c r="BA198" s="1"/>
      <c r="BB198" s="1"/>
      <c r="BD198" s="49"/>
    </row>
    <row r="199" spans="2:56" x14ac:dyDescent="0.25">
      <c r="B199">
        <v>870130</v>
      </c>
      <c r="C199" s="1">
        <v>1.4580366666666667E-10</v>
      </c>
      <c r="D199" s="1">
        <v>1.4567700000000001E-10</v>
      </c>
      <c r="E199">
        <v>3.6569999999999998E-2</v>
      </c>
      <c r="F199" s="49">
        <f t="shared" si="366"/>
        <v>0.67214480099697449</v>
      </c>
      <c r="G199" s="1">
        <f t="shared" si="374"/>
        <v>0.6821448009969745</v>
      </c>
      <c r="H199">
        <f t="shared" si="373"/>
        <v>3.6569999999999998E-2</v>
      </c>
      <c r="I199">
        <f t="shared" si="375"/>
        <v>3.807E-2</v>
      </c>
      <c r="K199">
        <v>870130</v>
      </c>
      <c r="L199" s="1">
        <v>9.4050733333333331E-11</v>
      </c>
      <c r="M199" s="1">
        <v>9.3992400000000006E-11</v>
      </c>
      <c r="N199">
        <v>3.0249999999999999E-2</v>
      </c>
      <c r="O199" s="1">
        <f t="shared" si="367"/>
        <v>0.43356736414918351</v>
      </c>
      <c r="P199" s="1">
        <f t="shared" si="376"/>
        <v>0.44356736414918352</v>
      </c>
      <c r="Q199">
        <f t="shared" si="368"/>
        <v>3.0249999999999999E-2</v>
      </c>
      <c r="R199">
        <f t="shared" si="377"/>
        <v>3.04E-2</v>
      </c>
      <c r="T199">
        <v>870130</v>
      </c>
      <c r="U199" s="1">
        <v>9.2394766666666669E-11</v>
      </c>
      <c r="V199" s="1">
        <v>9.2341933333333326E-11</v>
      </c>
      <c r="W199">
        <v>3.0169999999999999E-2</v>
      </c>
      <c r="X199" s="1">
        <f t="shared" si="369"/>
        <v>0.42593347255324093</v>
      </c>
      <c r="Y199">
        <f t="shared" si="370"/>
        <v>3.0169999999999999E-2</v>
      </c>
      <c r="AB199">
        <v>870130</v>
      </c>
      <c r="AC199" s="1">
        <v>1.4323066666666667E-10</v>
      </c>
      <c r="AD199" s="1">
        <v>1.4310433333333333E-10</v>
      </c>
      <c r="AE199">
        <v>3.4950000000000002E-2</v>
      </c>
      <c r="AF199" s="49">
        <f t="shared" si="371"/>
        <v>0.66028344927309079</v>
      </c>
      <c r="AG199">
        <f t="shared" si="372"/>
        <v>3.4950000000000002E-2</v>
      </c>
      <c r="AJ199">
        <v>870130</v>
      </c>
      <c r="AK199" s="1">
        <v>2.1419700000000002E-10</v>
      </c>
      <c r="AL199" s="1">
        <v>2.1310599999999999E-10</v>
      </c>
      <c r="AM199">
        <v>3.4590000000000003E-2</v>
      </c>
      <c r="AN199" s="49">
        <f t="shared" si="378"/>
        <v>0.98743332887706714</v>
      </c>
      <c r="AO199">
        <f t="shared" si="379"/>
        <v>3.4590000000000003E-2</v>
      </c>
      <c r="AS199" s="1"/>
      <c r="AT199" s="1"/>
      <c r="AV199" s="49"/>
      <c r="BA199" s="1"/>
      <c r="BB199" s="1"/>
      <c r="BD199" s="49"/>
    </row>
    <row r="200" spans="2:56" x14ac:dyDescent="0.25">
      <c r="B200">
        <v>875130</v>
      </c>
      <c r="C200" s="1">
        <v>1.4578999999999999E-10</v>
      </c>
      <c r="D200" s="1">
        <v>1.4566166666666666E-10</v>
      </c>
      <c r="E200">
        <v>3.6639999999999999E-2</v>
      </c>
      <c r="F200" s="49">
        <f t="shared" si="366"/>
        <v>0.67208179861056694</v>
      </c>
      <c r="G200" s="1">
        <f t="shared" si="374"/>
        <v>0.68208179861056695</v>
      </c>
      <c r="H200">
        <f t="shared" si="373"/>
        <v>3.6639999999999999E-2</v>
      </c>
      <c r="I200">
        <f t="shared" si="375"/>
        <v>3.814E-2</v>
      </c>
      <c r="K200">
        <v>875130</v>
      </c>
      <c r="L200" s="1">
        <v>9.4043900000000008E-11</v>
      </c>
      <c r="M200" s="1">
        <v>9.3985166666666659E-11</v>
      </c>
      <c r="N200">
        <v>3.031E-2</v>
      </c>
      <c r="O200" s="1">
        <f t="shared" si="367"/>
        <v>0.43353586295597984</v>
      </c>
      <c r="P200" s="1">
        <f t="shared" si="376"/>
        <v>0.44353586295597985</v>
      </c>
      <c r="Q200">
        <f t="shared" si="368"/>
        <v>3.031E-2</v>
      </c>
      <c r="R200">
        <f t="shared" si="377"/>
        <v>3.0460000000000001E-2</v>
      </c>
      <c r="T200">
        <v>875130</v>
      </c>
      <c r="U200" s="1">
        <v>9.2386833333333331E-11</v>
      </c>
      <c r="V200" s="1">
        <v>9.2333700000000009E-11</v>
      </c>
      <c r="W200">
        <v>3.0249999999999999E-2</v>
      </c>
      <c r="X200" s="1">
        <f t="shared" si="369"/>
        <v>0.42589690043625311</v>
      </c>
      <c r="Y200">
        <f t="shared" si="370"/>
        <v>3.0249999999999999E-2</v>
      </c>
      <c r="AB200">
        <v>875130</v>
      </c>
      <c r="AC200" s="1">
        <v>1.43223E-10</v>
      </c>
      <c r="AD200" s="1">
        <v>1.4309600000000002E-10</v>
      </c>
      <c r="AE200">
        <v>3.5029999999999999E-2</v>
      </c>
      <c r="AF200" s="49">
        <f t="shared" si="371"/>
        <v>0.66024810647095977</v>
      </c>
      <c r="AG200">
        <f t="shared" si="372"/>
        <v>3.5029999999999999E-2</v>
      </c>
      <c r="AJ200">
        <v>875130</v>
      </c>
      <c r="AK200" s="1">
        <v>2.1416399999999997E-10</v>
      </c>
      <c r="AL200" s="1">
        <v>2.13071E-10</v>
      </c>
      <c r="AM200">
        <v>3.465E-2</v>
      </c>
      <c r="AN200" s="49">
        <f t="shared" si="378"/>
        <v>0.98728120116354634</v>
      </c>
      <c r="AO200">
        <f t="shared" si="379"/>
        <v>3.465E-2</v>
      </c>
      <c r="AS200" s="1"/>
      <c r="AT200" s="1"/>
      <c r="AV200" s="49"/>
      <c r="BA200" s="1"/>
      <c r="BB200" s="1"/>
      <c r="BD200" s="49"/>
    </row>
    <row r="201" spans="2:56" x14ac:dyDescent="0.25">
      <c r="B201">
        <v>880120</v>
      </c>
      <c r="C201" s="1">
        <v>1.4577333333333332E-10</v>
      </c>
      <c r="D201" s="1">
        <v>1.4564533333333334E-10</v>
      </c>
      <c r="E201">
        <v>3.671E-2</v>
      </c>
      <c r="F201" s="49">
        <f t="shared" si="366"/>
        <v>0.67200496643202112</v>
      </c>
      <c r="G201" s="1">
        <f t="shared" si="374"/>
        <v>0.68200496643202113</v>
      </c>
      <c r="H201">
        <f t="shared" si="373"/>
        <v>3.671E-2</v>
      </c>
      <c r="I201">
        <f t="shared" si="375"/>
        <v>3.8210000000000001E-2</v>
      </c>
      <c r="K201">
        <v>880120</v>
      </c>
      <c r="L201" s="1">
        <v>9.4038466666666666E-11</v>
      </c>
      <c r="M201" s="1">
        <v>9.3979399999999998E-11</v>
      </c>
      <c r="N201">
        <v>3.0360000000000002E-2</v>
      </c>
      <c r="O201" s="1">
        <f t="shared" si="367"/>
        <v>0.43351081566577393</v>
      </c>
      <c r="P201" s="1">
        <f t="shared" si="376"/>
        <v>0.44351081566577394</v>
      </c>
      <c r="Q201">
        <f t="shared" si="368"/>
        <v>3.0360000000000002E-2</v>
      </c>
      <c r="R201">
        <f t="shared" si="377"/>
        <v>3.0510000000000002E-2</v>
      </c>
      <c r="T201">
        <v>880120</v>
      </c>
      <c r="U201" s="1">
        <v>9.2378866666666667E-11</v>
      </c>
      <c r="V201" s="1">
        <v>9.2325499999999993E-11</v>
      </c>
      <c r="W201">
        <v>3.032E-2</v>
      </c>
      <c r="X201" s="1">
        <f t="shared" si="369"/>
        <v>0.42586017465490827</v>
      </c>
      <c r="Y201">
        <f t="shared" si="370"/>
        <v>3.032E-2</v>
      </c>
      <c r="AB201">
        <v>880120</v>
      </c>
      <c r="AC201" s="1">
        <v>1.4320966666666667E-10</v>
      </c>
      <c r="AD201" s="1">
        <v>1.43082E-10</v>
      </c>
      <c r="AE201">
        <v>3.5099999999999999E-2</v>
      </c>
      <c r="AF201" s="49">
        <f t="shared" si="371"/>
        <v>0.66018664072812328</v>
      </c>
      <c r="AG201">
        <f t="shared" si="372"/>
        <v>3.5099999999999999E-2</v>
      </c>
      <c r="AJ201">
        <v>880120</v>
      </c>
      <c r="AK201" s="1">
        <v>2.1412233333333334E-10</v>
      </c>
      <c r="AL201" s="1">
        <v>2.1302800000000002E-10</v>
      </c>
      <c r="AM201">
        <v>3.4709999999999998E-2</v>
      </c>
      <c r="AN201" s="49">
        <f t="shared" si="378"/>
        <v>0.98708912071718236</v>
      </c>
      <c r="AO201">
        <f t="shared" si="379"/>
        <v>3.4709999999999998E-2</v>
      </c>
      <c r="AS201" s="1"/>
      <c r="AT201" s="1"/>
      <c r="AV201" s="49"/>
      <c r="BA201" s="1"/>
      <c r="BB201" s="1"/>
      <c r="BD201" s="49"/>
    </row>
    <row r="202" spans="2:56" x14ac:dyDescent="0.25">
      <c r="B202">
        <v>885120</v>
      </c>
      <c r="C202" s="1">
        <v>1.4575700000000002E-10</v>
      </c>
      <c r="D202" s="1">
        <v>1.4562866666666666E-10</v>
      </c>
      <c r="E202">
        <v>3.6810000000000002E-2</v>
      </c>
      <c r="F202" s="49">
        <f t="shared" si="366"/>
        <v>0.67192967089704658</v>
      </c>
      <c r="G202" s="1">
        <f t="shared" si="374"/>
        <v>0.68192967089704659</v>
      </c>
      <c r="H202">
        <f t="shared" si="373"/>
        <v>3.6810000000000002E-2</v>
      </c>
      <c r="I202">
        <f t="shared" si="375"/>
        <v>3.8310000000000004E-2</v>
      </c>
      <c r="K202">
        <v>885120</v>
      </c>
      <c r="L202" s="1">
        <v>9.4031766666666663E-11</v>
      </c>
      <c r="M202" s="1">
        <v>9.3972333333333336E-11</v>
      </c>
      <c r="N202">
        <v>3.0439999999999998E-2</v>
      </c>
      <c r="O202" s="1">
        <f t="shared" si="367"/>
        <v>0.43347992912999855</v>
      </c>
      <c r="P202" s="1">
        <f t="shared" si="376"/>
        <v>0.44347992912999856</v>
      </c>
      <c r="Q202">
        <f t="shared" si="368"/>
        <v>3.0439999999999998E-2</v>
      </c>
      <c r="R202">
        <f t="shared" si="377"/>
        <v>3.0589999999999999E-2</v>
      </c>
      <c r="T202">
        <v>885120</v>
      </c>
      <c r="U202" s="1">
        <v>9.2372466666666656E-11</v>
      </c>
      <c r="V202" s="1">
        <v>9.2318900000000009E-11</v>
      </c>
      <c r="W202">
        <v>3.0380000000000001E-2</v>
      </c>
      <c r="X202" s="1">
        <f t="shared" si="369"/>
        <v>0.42583067109834666</v>
      </c>
      <c r="Y202">
        <f t="shared" si="370"/>
        <v>3.0380000000000001E-2</v>
      </c>
      <c r="AB202">
        <v>885120</v>
      </c>
      <c r="AC202" s="1">
        <v>1.4319833333333333E-10</v>
      </c>
      <c r="AD202" s="1">
        <v>1.4307033333333335E-10</v>
      </c>
      <c r="AE202">
        <v>3.517E-2</v>
      </c>
      <c r="AF202" s="49">
        <f t="shared" si="371"/>
        <v>0.6601343948467121</v>
      </c>
      <c r="AG202">
        <f t="shared" si="372"/>
        <v>3.517E-2</v>
      </c>
      <c r="AJ202">
        <v>885120</v>
      </c>
      <c r="AK202" s="1">
        <v>2.1407800000000001E-10</v>
      </c>
      <c r="AL202" s="1">
        <v>2.1298233333333333E-10</v>
      </c>
      <c r="AM202">
        <v>3.4790000000000001E-2</v>
      </c>
      <c r="AN202" s="49">
        <f t="shared" si="378"/>
        <v>0.98688474712225083</v>
      </c>
      <c r="AO202">
        <f t="shared" si="379"/>
        <v>3.4790000000000001E-2</v>
      </c>
      <c r="AS202" s="1"/>
      <c r="AT202" s="1"/>
      <c r="AV202" s="49"/>
      <c r="BA202" s="1"/>
      <c r="BB202" s="1"/>
      <c r="BD202" s="49"/>
    </row>
    <row r="203" spans="2:56" x14ac:dyDescent="0.25">
      <c r="B203">
        <v>890110</v>
      </c>
      <c r="C203" s="1">
        <v>1.4573900000000002E-10</v>
      </c>
      <c r="D203" s="1">
        <v>1.4560966666666668E-10</v>
      </c>
      <c r="E203">
        <v>3.6880000000000003E-2</v>
      </c>
      <c r="F203" s="49">
        <f t="shared" si="366"/>
        <v>0.67184669214421722</v>
      </c>
      <c r="G203" s="1">
        <f t="shared" si="374"/>
        <v>0.68184669214421723</v>
      </c>
      <c r="H203">
        <f t="shared" si="373"/>
        <v>3.6880000000000003E-2</v>
      </c>
      <c r="I203">
        <f t="shared" si="375"/>
        <v>3.8380000000000004E-2</v>
      </c>
      <c r="K203">
        <v>890110</v>
      </c>
      <c r="L203" s="1">
        <v>9.4024633333333335E-11</v>
      </c>
      <c r="M203" s="1">
        <v>9.3964799999999996E-11</v>
      </c>
      <c r="N203">
        <v>3.049E-2</v>
      </c>
      <c r="O203" s="1">
        <f t="shared" si="367"/>
        <v>0.43344704495758102</v>
      </c>
      <c r="P203" s="1">
        <f t="shared" si="376"/>
        <v>0.44344704495758103</v>
      </c>
      <c r="Q203">
        <f t="shared" si="368"/>
        <v>3.049E-2</v>
      </c>
      <c r="R203">
        <f t="shared" si="377"/>
        <v>3.0640000000000001E-2</v>
      </c>
      <c r="T203">
        <v>890110</v>
      </c>
      <c r="U203" s="1">
        <v>9.2364733333333317E-11</v>
      </c>
      <c r="V203" s="1">
        <v>9.2310933333333332E-11</v>
      </c>
      <c r="W203">
        <v>3.0460000000000001E-2</v>
      </c>
      <c r="X203" s="1">
        <f t="shared" si="369"/>
        <v>0.42579502096750149</v>
      </c>
      <c r="Y203">
        <f t="shared" si="370"/>
        <v>3.0460000000000001E-2</v>
      </c>
      <c r="AB203">
        <v>890110</v>
      </c>
      <c r="AC203" s="1">
        <v>1.4318266666666667E-10</v>
      </c>
      <c r="AD203" s="1">
        <v>1.4305366666666668E-10</v>
      </c>
      <c r="AE203">
        <v>3.524E-2</v>
      </c>
      <c r="AF203" s="49">
        <f t="shared" si="371"/>
        <v>0.66006217259887923</v>
      </c>
      <c r="AG203">
        <f t="shared" si="372"/>
        <v>3.524E-2</v>
      </c>
      <c r="AJ203">
        <v>890110</v>
      </c>
      <c r="AK203" s="1">
        <v>2.1403366666666667E-10</v>
      </c>
      <c r="AL203" s="1">
        <v>2.1293699999999999E-10</v>
      </c>
      <c r="AM203">
        <v>3.4860000000000002E-2</v>
      </c>
      <c r="AN203" s="49">
        <f t="shared" si="378"/>
        <v>0.9866803735273193</v>
      </c>
      <c r="AO203">
        <f t="shared" si="379"/>
        <v>3.4860000000000002E-2</v>
      </c>
      <c r="AS203" s="1"/>
      <c r="AT203" s="1"/>
      <c r="AV203" s="49"/>
      <c r="BA203" s="1"/>
      <c r="BB203" s="1"/>
      <c r="BD203" s="49"/>
    </row>
    <row r="204" spans="2:56" x14ac:dyDescent="0.25">
      <c r="B204">
        <v>895110</v>
      </c>
      <c r="C204" s="1">
        <v>1.4572799999999998E-10</v>
      </c>
      <c r="D204" s="1">
        <v>1.4559766666666668E-10</v>
      </c>
      <c r="E204">
        <v>3.696E-2</v>
      </c>
      <c r="F204" s="49">
        <f t="shared" ref="F204:F225" si="380">(C204*A$9)/(A$12*A$5)</f>
        <v>0.67179598290637688</v>
      </c>
      <c r="G204" s="1">
        <f t="shared" si="374"/>
        <v>0.68179598290637689</v>
      </c>
      <c r="H204">
        <f t="shared" si="373"/>
        <v>3.696E-2</v>
      </c>
      <c r="I204">
        <f t="shared" si="375"/>
        <v>3.8460000000000001E-2</v>
      </c>
      <c r="K204">
        <v>895110</v>
      </c>
      <c r="L204" s="1">
        <v>9.4019433333333344E-11</v>
      </c>
      <c r="M204" s="1">
        <v>9.3959566666666666E-11</v>
      </c>
      <c r="N204">
        <v>3.056E-2</v>
      </c>
      <c r="O204" s="1">
        <f t="shared" ref="O204:O225" si="381">(L204*J$9)/(J$12*J$5)</f>
        <v>0.43342307331787477</v>
      </c>
      <c r="P204" s="1">
        <f t="shared" si="376"/>
        <v>0.44342307331787478</v>
      </c>
      <c r="Q204">
        <f t="shared" ref="Q204:Q225" si="382">N204</f>
        <v>3.056E-2</v>
      </c>
      <c r="R204">
        <f t="shared" si="377"/>
        <v>3.0710000000000001E-2</v>
      </c>
      <c r="T204">
        <v>895110</v>
      </c>
      <c r="U204" s="1">
        <v>9.235816666666666E-11</v>
      </c>
      <c r="V204" s="1">
        <v>9.2304099999999996E-11</v>
      </c>
      <c r="W204">
        <v>3.0499999999999999E-2</v>
      </c>
      <c r="X204" s="1">
        <f t="shared" ref="X204:X225" si="383">(U204*S$9)/(S$12*S$5)</f>
        <v>0.42576474908915457</v>
      </c>
      <c r="Y204">
        <f t="shared" ref="Y204:Y225" si="384">W204</f>
        <v>3.0499999999999999E-2</v>
      </c>
      <c r="AB204">
        <v>895110</v>
      </c>
      <c r="AC204" s="1">
        <v>1.4317433333333334E-10</v>
      </c>
      <c r="AD204" s="1">
        <v>1.4304500000000002E-10</v>
      </c>
      <c r="AE204">
        <v>3.5319999999999997E-2</v>
      </c>
      <c r="AF204" s="49">
        <f t="shared" ref="AF204:AF225" si="385">(AC204*AA$9)/(AA$12*AA$5)</f>
        <v>0.66002375650960632</v>
      </c>
      <c r="AG204">
        <f t="shared" ref="AG204:AG225" si="386">AE204</f>
        <v>3.5319999999999997E-2</v>
      </c>
      <c r="AJ204">
        <v>895110</v>
      </c>
      <c r="AK204" s="1">
        <v>2.1397866666666664E-10</v>
      </c>
      <c r="AL204" s="1">
        <v>2.1288066666666666E-10</v>
      </c>
      <c r="AM204">
        <v>3.49E-2</v>
      </c>
      <c r="AN204" s="49">
        <f t="shared" si="378"/>
        <v>0.98642682733811837</v>
      </c>
      <c r="AO204">
        <f t="shared" si="379"/>
        <v>3.49E-2</v>
      </c>
      <c r="AS204" s="1"/>
      <c r="AT204" s="1"/>
      <c r="AV204" s="49"/>
      <c r="BA204" s="1"/>
      <c r="BB204" s="1"/>
      <c r="BD204" s="49"/>
    </row>
    <row r="205" spans="2:56" x14ac:dyDescent="0.25">
      <c r="B205">
        <v>900100</v>
      </c>
      <c r="C205" s="1">
        <v>1.4571099999999999E-10</v>
      </c>
      <c r="D205" s="1">
        <v>1.4558066666666667E-10</v>
      </c>
      <c r="E205">
        <v>3.705E-2</v>
      </c>
      <c r="F205" s="49">
        <f t="shared" si="380"/>
        <v>0.67171761408426034</v>
      </c>
      <c r="G205" s="1">
        <f t="shared" si="374"/>
        <v>0.68171761408426035</v>
      </c>
      <c r="H205">
        <f t="shared" si="373"/>
        <v>3.705E-2</v>
      </c>
      <c r="I205">
        <f t="shared" si="375"/>
        <v>3.8550000000000001E-2</v>
      </c>
      <c r="K205">
        <v>900100</v>
      </c>
      <c r="L205" s="1">
        <v>9.4014733333333332E-11</v>
      </c>
      <c r="M205" s="1">
        <v>9.3954499999999996E-11</v>
      </c>
      <c r="N205">
        <v>3.0620000000000001E-2</v>
      </c>
      <c r="O205" s="1">
        <f t="shared" si="381"/>
        <v>0.43340140664352489</v>
      </c>
      <c r="P205" s="1">
        <f t="shared" si="376"/>
        <v>0.4434014066435249</v>
      </c>
      <c r="Q205">
        <f t="shared" si="382"/>
        <v>3.0620000000000001E-2</v>
      </c>
      <c r="R205">
        <f t="shared" si="377"/>
        <v>3.0770000000000002E-2</v>
      </c>
      <c r="T205">
        <v>900100</v>
      </c>
      <c r="U205" s="1">
        <v>9.2350533333333327E-11</v>
      </c>
      <c r="V205" s="1">
        <v>9.2296266666666664E-11</v>
      </c>
      <c r="W205">
        <v>3.057E-2</v>
      </c>
      <c r="X205" s="1">
        <f t="shared" si="383"/>
        <v>0.42572955995138057</v>
      </c>
      <c r="Y205">
        <f t="shared" si="384"/>
        <v>3.057E-2</v>
      </c>
      <c r="AB205">
        <v>900100</v>
      </c>
      <c r="AC205" s="1">
        <v>1.4316066666666666E-10</v>
      </c>
      <c r="AD205" s="1">
        <v>1.4303066666666666E-10</v>
      </c>
      <c r="AE205">
        <v>3.5389999999999998E-2</v>
      </c>
      <c r="AF205" s="49">
        <f t="shared" si="385"/>
        <v>0.65996075412319888</v>
      </c>
      <c r="AG205">
        <f t="shared" si="386"/>
        <v>3.5389999999999998E-2</v>
      </c>
      <c r="AJ205">
        <v>900100</v>
      </c>
      <c r="AK205" s="1">
        <v>2.1392933333333334E-10</v>
      </c>
      <c r="AL205" s="1">
        <v>2.1282933333333331E-10</v>
      </c>
      <c r="AM205">
        <v>3.4959999999999998E-2</v>
      </c>
      <c r="AN205" s="49">
        <f t="shared" si="378"/>
        <v>0.98619940408962337</v>
      </c>
      <c r="AO205">
        <f t="shared" si="379"/>
        <v>3.4959999999999998E-2</v>
      </c>
      <c r="AS205" s="1"/>
      <c r="AT205" s="1"/>
      <c r="AV205" s="49"/>
      <c r="BA205" s="1"/>
      <c r="BB205" s="1"/>
      <c r="BD205" s="49"/>
    </row>
    <row r="206" spans="2:56" x14ac:dyDescent="0.25">
      <c r="B206">
        <v>905100</v>
      </c>
      <c r="C206" s="1">
        <v>1.4569766666666666E-10</v>
      </c>
      <c r="D206" s="1">
        <v>1.4556699999999999E-10</v>
      </c>
      <c r="E206">
        <v>3.7130000000000003E-2</v>
      </c>
      <c r="F206" s="49">
        <f t="shared" si="380"/>
        <v>0.67165614834142384</v>
      </c>
      <c r="G206" s="1">
        <f t="shared" si="374"/>
        <v>0.68165614834142385</v>
      </c>
      <c r="H206">
        <f t="shared" si="373"/>
        <v>3.7130000000000003E-2</v>
      </c>
      <c r="I206">
        <f t="shared" si="375"/>
        <v>3.8630000000000005E-2</v>
      </c>
      <c r="K206">
        <v>905100</v>
      </c>
      <c r="L206" s="1">
        <v>9.4008300000000008E-11</v>
      </c>
      <c r="M206" s="1">
        <v>9.3948000000000005E-11</v>
      </c>
      <c r="N206">
        <v>3.0679999999999999E-2</v>
      </c>
      <c r="O206" s="1">
        <f t="shared" si="381"/>
        <v>0.43337174942260626</v>
      </c>
      <c r="P206" s="1">
        <f t="shared" si="376"/>
        <v>0.44337174942260626</v>
      </c>
      <c r="Q206">
        <f t="shared" si="382"/>
        <v>3.0679999999999999E-2</v>
      </c>
      <c r="R206">
        <f t="shared" si="377"/>
        <v>3.083E-2</v>
      </c>
      <c r="T206">
        <v>905100</v>
      </c>
      <c r="U206" s="1">
        <v>9.2343599999999985E-11</v>
      </c>
      <c r="V206" s="1">
        <v>9.2289099999999983E-11</v>
      </c>
      <c r="W206">
        <v>3.0640000000000001E-2</v>
      </c>
      <c r="X206" s="1">
        <f t="shared" si="383"/>
        <v>0.42569759776510557</v>
      </c>
      <c r="Y206">
        <f t="shared" si="384"/>
        <v>3.0640000000000001E-2</v>
      </c>
      <c r="AB206">
        <v>905100</v>
      </c>
      <c r="AC206" s="1">
        <v>1.4314966666666667E-10</v>
      </c>
      <c r="AD206" s="1">
        <v>1.4301966666666667E-10</v>
      </c>
      <c r="AE206">
        <v>3.5459999999999998E-2</v>
      </c>
      <c r="AF206" s="49">
        <f t="shared" si="385"/>
        <v>0.65991004488535876</v>
      </c>
      <c r="AG206">
        <f t="shared" si="386"/>
        <v>3.5459999999999998E-2</v>
      </c>
      <c r="AJ206">
        <v>905100</v>
      </c>
      <c r="AK206" s="1">
        <v>2.1388566666666667E-10</v>
      </c>
      <c r="AL206" s="1">
        <v>2.1278433333333334E-10</v>
      </c>
      <c r="AM206">
        <v>3.5040000000000002E-2</v>
      </c>
      <c r="AN206" s="49">
        <f t="shared" si="378"/>
        <v>0.9859981037818335</v>
      </c>
      <c r="AO206">
        <f t="shared" si="379"/>
        <v>3.5040000000000002E-2</v>
      </c>
      <c r="AS206" s="1"/>
      <c r="AT206" s="1"/>
      <c r="AV206" s="49"/>
      <c r="BA206" s="1"/>
      <c r="BB206" s="1"/>
      <c r="BD206" s="49"/>
    </row>
    <row r="207" spans="2:56" x14ac:dyDescent="0.25">
      <c r="B207">
        <v>910090</v>
      </c>
      <c r="C207" s="1">
        <v>1.4568266666666666E-10</v>
      </c>
      <c r="D207" s="1">
        <v>1.4555133333333333E-10</v>
      </c>
      <c r="E207">
        <v>3.7199999999999997E-2</v>
      </c>
      <c r="F207" s="49">
        <f t="shared" si="380"/>
        <v>0.67158699938073263</v>
      </c>
      <c r="G207" s="1">
        <f t="shared" si="374"/>
        <v>0.68158699938073264</v>
      </c>
      <c r="H207">
        <f t="shared" si="373"/>
        <v>3.7199999999999997E-2</v>
      </c>
      <c r="I207">
        <f t="shared" si="375"/>
        <v>3.8699999999999998E-2</v>
      </c>
      <c r="K207">
        <v>910090</v>
      </c>
      <c r="L207" s="1">
        <v>9.4002700000000006E-11</v>
      </c>
      <c r="M207" s="1">
        <v>9.3942033333333332E-11</v>
      </c>
      <c r="N207">
        <v>3.073E-2</v>
      </c>
      <c r="O207" s="1">
        <f t="shared" si="381"/>
        <v>0.43334593381061493</v>
      </c>
      <c r="P207" s="1">
        <f t="shared" si="376"/>
        <v>0.44334593381061493</v>
      </c>
      <c r="Q207">
        <f t="shared" si="382"/>
        <v>3.073E-2</v>
      </c>
      <c r="R207">
        <f t="shared" si="377"/>
        <v>3.0880000000000001E-2</v>
      </c>
      <c r="T207">
        <v>910090</v>
      </c>
      <c r="U207" s="1">
        <v>9.2335999999999993E-11</v>
      </c>
      <c r="V207" s="1">
        <v>9.2281199999999998E-11</v>
      </c>
      <c r="W207">
        <v>3.0710000000000001E-2</v>
      </c>
      <c r="X207" s="1">
        <f t="shared" si="383"/>
        <v>0.42566256229168881</v>
      </c>
      <c r="Y207">
        <f t="shared" si="384"/>
        <v>3.0710000000000001E-2</v>
      </c>
      <c r="AB207">
        <v>910090</v>
      </c>
      <c r="AC207" s="1">
        <v>1.4313666666666666E-10</v>
      </c>
      <c r="AD207" s="1">
        <v>1.43006E-10</v>
      </c>
      <c r="AE207">
        <v>3.5529999999999999E-2</v>
      </c>
      <c r="AF207" s="49">
        <f t="shared" si="385"/>
        <v>0.65985011578609309</v>
      </c>
      <c r="AG207">
        <f t="shared" si="386"/>
        <v>3.5529999999999999E-2</v>
      </c>
      <c r="AJ207">
        <v>910090</v>
      </c>
      <c r="AK207" s="1">
        <v>2.1380399999999998E-10</v>
      </c>
      <c r="AL207" s="1">
        <v>2.1272366666666665E-10</v>
      </c>
      <c r="AM207">
        <v>3.5090000000000003E-2</v>
      </c>
      <c r="AN207" s="49">
        <f t="shared" si="378"/>
        <v>0.98562162610695969</v>
      </c>
      <c r="AO207">
        <f t="shared" si="379"/>
        <v>3.5090000000000003E-2</v>
      </c>
      <c r="AS207" s="1"/>
      <c r="AT207" s="1"/>
      <c r="AV207" s="49"/>
      <c r="BA207" s="1"/>
      <c r="BB207" s="1"/>
      <c r="BD207" s="49"/>
    </row>
    <row r="208" spans="2:56" x14ac:dyDescent="0.25">
      <c r="B208">
        <v>915090</v>
      </c>
      <c r="C208" s="1">
        <v>1.4566766666666666E-10</v>
      </c>
      <c r="D208" s="1">
        <v>1.4553566666666667E-10</v>
      </c>
      <c r="E208">
        <v>3.7280000000000001E-2</v>
      </c>
      <c r="F208" s="49">
        <f t="shared" si="380"/>
        <v>0.67151785042004164</v>
      </c>
      <c r="G208" s="1">
        <f t="shared" si="374"/>
        <v>0.68151785042004165</v>
      </c>
      <c r="H208">
        <f t="shared" si="373"/>
        <v>3.7280000000000001E-2</v>
      </c>
      <c r="I208">
        <f t="shared" si="375"/>
        <v>3.8780000000000002E-2</v>
      </c>
      <c r="K208">
        <v>915090</v>
      </c>
      <c r="L208" s="1">
        <v>9.3996833333333326E-11</v>
      </c>
      <c r="M208" s="1">
        <v>9.3935799999999993E-11</v>
      </c>
      <c r="N208">
        <v>3.0790000000000001E-2</v>
      </c>
      <c r="O208" s="1">
        <f t="shared" si="381"/>
        <v>0.43331888888376674</v>
      </c>
      <c r="P208" s="1">
        <f t="shared" si="376"/>
        <v>0.44331888888376675</v>
      </c>
      <c r="Q208">
        <f t="shared" si="382"/>
        <v>3.0790000000000001E-2</v>
      </c>
      <c r="R208">
        <f t="shared" si="377"/>
        <v>3.0940000000000002E-2</v>
      </c>
      <c r="T208">
        <v>915090</v>
      </c>
      <c r="U208" s="1">
        <v>9.2328866666666664E-11</v>
      </c>
      <c r="V208" s="1">
        <v>9.2273899999999998E-11</v>
      </c>
      <c r="W208">
        <v>3.0759999999999999E-2</v>
      </c>
      <c r="X208" s="1">
        <f t="shared" si="383"/>
        <v>0.42562967811927122</v>
      </c>
      <c r="Y208">
        <f t="shared" si="384"/>
        <v>3.0759999999999999E-2</v>
      </c>
      <c r="AB208">
        <v>915090</v>
      </c>
      <c r="AC208" s="1">
        <v>1.4312499999999998E-10</v>
      </c>
      <c r="AD208" s="1">
        <v>1.4299366666666668E-10</v>
      </c>
      <c r="AE208">
        <v>3.5610000000000003E-2</v>
      </c>
      <c r="AF208" s="49">
        <f t="shared" si="385"/>
        <v>0.65979633326111098</v>
      </c>
      <c r="AG208">
        <f t="shared" si="386"/>
        <v>3.5610000000000003E-2</v>
      </c>
      <c r="AJ208">
        <v>915090</v>
      </c>
      <c r="AK208" s="1">
        <v>2.1376966666666668E-10</v>
      </c>
      <c r="AL208" s="1">
        <v>2.1268833333333334E-10</v>
      </c>
      <c r="AM208">
        <v>3.5159999999999997E-2</v>
      </c>
      <c r="AN208" s="49">
        <f t="shared" si="378"/>
        <v>0.98546335181915568</v>
      </c>
      <c r="AO208">
        <f t="shared" si="379"/>
        <v>3.5159999999999997E-2</v>
      </c>
      <c r="AS208" s="1"/>
      <c r="AT208" s="1"/>
      <c r="AV208" s="49"/>
      <c r="BA208" s="1"/>
      <c r="BB208" s="1"/>
      <c r="BD208" s="49"/>
    </row>
    <row r="209" spans="2:56" x14ac:dyDescent="0.25">
      <c r="B209">
        <v>920080</v>
      </c>
      <c r="C209" s="1">
        <v>1.4565400000000002E-10</v>
      </c>
      <c r="D209" s="1">
        <v>1.4552133333333333E-10</v>
      </c>
      <c r="E209">
        <v>3.7359999999999997E-2</v>
      </c>
      <c r="F209" s="49">
        <f t="shared" si="380"/>
        <v>0.6714548480336342</v>
      </c>
      <c r="G209" s="1">
        <f t="shared" si="374"/>
        <v>0.68145484803363421</v>
      </c>
      <c r="H209">
        <f t="shared" si="373"/>
        <v>3.7359999999999997E-2</v>
      </c>
      <c r="I209">
        <f t="shared" si="375"/>
        <v>3.8859999999999999E-2</v>
      </c>
      <c r="K209">
        <v>920080</v>
      </c>
      <c r="L209" s="1">
        <v>9.3990866666666666E-11</v>
      </c>
      <c r="M209" s="1">
        <v>9.3929466666666674E-11</v>
      </c>
      <c r="N209">
        <v>3.0870000000000002E-2</v>
      </c>
      <c r="O209" s="1">
        <f t="shared" si="381"/>
        <v>0.43329138296384739</v>
      </c>
      <c r="P209" s="1">
        <f t="shared" si="376"/>
        <v>0.4432913829638474</v>
      </c>
      <c r="Q209">
        <f t="shared" si="382"/>
        <v>3.0870000000000002E-2</v>
      </c>
      <c r="R209">
        <f t="shared" si="377"/>
        <v>3.1020000000000002E-2</v>
      </c>
      <c r="T209">
        <v>920080</v>
      </c>
      <c r="U209" s="1">
        <v>9.2316766666666672E-11</v>
      </c>
      <c r="V209" s="1">
        <v>9.2261533333333339E-11</v>
      </c>
      <c r="W209">
        <v>3.083E-2</v>
      </c>
      <c r="X209" s="1">
        <f t="shared" si="383"/>
        <v>0.42557389795764711</v>
      </c>
      <c r="Y209">
        <f t="shared" si="384"/>
        <v>3.083E-2</v>
      </c>
      <c r="AB209">
        <v>920080</v>
      </c>
      <c r="AC209" s="1">
        <v>1.4311633333333333E-10</v>
      </c>
      <c r="AD209" s="1">
        <v>1.4298466666666665E-10</v>
      </c>
      <c r="AE209">
        <v>3.5680000000000003E-2</v>
      </c>
      <c r="AF209" s="49">
        <f t="shared" si="385"/>
        <v>0.65975638052826735</v>
      </c>
      <c r="AG209">
        <f t="shared" si="386"/>
        <v>3.5680000000000003E-2</v>
      </c>
      <c r="AJ209">
        <v>920080</v>
      </c>
      <c r="AK209" s="1">
        <v>2.1372566666666664E-10</v>
      </c>
      <c r="AL209" s="1">
        <v>2.1264199999999999E-10</v>
      </c>
      <c r="AM209">
        <v>3.5200000000000002E-2</v>
      </c>
      <c r="AN209" s="49">
        <f t="shared" si="378"/>
        <v>0.98526051486779487</v>
      </c>
      <c r="AO209">
        <f t="shared" si="379"/>
        <v>3.5200000000000002E-2</v>
      </c>
      <c r="AS209" s="1"/>
      <c r="AT209" s="1"/>
      <c r="AV209" s="49"/>
      <c r="BA209" s="1"/>
      <c r="BB209" s="1"/>
      <c r="BD209" s="49"/>
    </row>
    <row r="210" spans="2:56" x14ac:dyDescent="0.25">
      <c r="B210">
        <v>925080</v>
      </c>
      <c r="C210" s="1">
        <v>1.4564100000000001E-10</v>
      </c>
      <c r="D210" s="1">
        <v>1.4550733333333334E-10</v>
      </c>
      <c r="E210">
        <v>3.7449999999999997E-2</v>
      </c>
      <c r="F210" s="49">
        <f t="shared" si="380"/>
        <v>0.67139491893436853</v>
      </c>
      <c r="G210" s="1">
        <f t="shared" si="374"/>
        <v>0.68139491893436854</v>
      </c>
      <c r="H210">
        <f t="shared" si="373"/>
        <v>3.7449999999999997E-2</v>
      </c>
      <c r="I210">
        <f t="shared" si="375"/>
        <v>3.8949999999999999E-2</v>
      </c>
      <c r="K210">
        <v>925080</v>
      </c>
      <c r="L210" s="1">
        <v>9.3984700000000007E-11</v>
      </c>
      <c r="M210" s="1">
        <v>9.3923599999999995E-11</v>
      </c>
      <c r="N210">
        <v>3.092E-2</v>
      </c>
      <c r="O210" s="1">
        <f t="shared" si="381"/>
        <v>0.43326295505778556</v>
      </c>
      <c r="P210" s="1">
        <f t="shared" si="376"/>
        <v>0.44326295505778557</v>
      </c>
      <c r="Q210">
        <f t="shared" si="382"/>
        <v>3.092E-2</v>
      </c>
      <c r="R210">
        <f t="shared" si="377"/>
        <v>3.107E-2</v>
      </c>
      <c r="T210">
        <v>925080</v>
      </c>
      <c r="U210" s="1">
        <v>9.2307000000000002E-11</v>
      </c>
      <c r="V210" s="1">
        <v>9.2251533333333344E-11</v>
      </c>
      <c r="W210">
        <v>3.0890000000000001E-2</v>
      </c>
      <c r="X210" s="1">
        <f t="shared" si="383"/>
        <v>0.42552887430101927</v>
      </c>
      <c r="Y210">
        <f t="shared" si="384"/>
        <v>3.0890000000000001E-2</v>
      </c>
      <c r="AB210">
        <v>925080</v>
      </c>
      <c r="AC210" s="1">
        <v>1.4310399999999998E-10</v>
      </c>
      <c r="AD210" s="1">
        <v>1.429716666666667E-10</v>
      </c>
      <c r="AE210">
        <v>3.576E-2</v>
      </c>
      <c r="AF210" s="49">
        <f t="shared" si="385"/>
        <v>0.65969952471614357</v>
      </c>
      <c r="AG210">
        <f t="shared" si="386"/>
        <v>3.576E-2</v>
      </c>
      <c r="AJ210">
        <v>925080</v>
      </c>
      <c r="AK210" s="1">
        <v>2.1368100000000001E-10</v>
      </c>
      <c r="AL210" s="1">
        <v>2.1259700000000002E-10</v>
      </c>
      <c r="AM210">
        <v>3.5279999999999999E-2</v>
      </c>
      <c r="AN210" s="49">
        <f t="shared" si="378"/>
        <v>0.98505460462929262</v>
      </c>
      <c r="AO210">
        <f t="shared" si="379"/>
        <v>3.5279999999999999E-2</v>
      </c>
      <c r="AS210" s="1"/>
      <c r="AT210" s="1"/>
      <c r="AV210" s="49"/>
      <c r="BA210" s="1"/>
      <c r="BB210" s="1"/>
      <c r="BD210" s="49"/>
    </row>
    <row r="211" spans="2:56" x14ac:dyDescent="0.25">
      <c r="B211">
        <v>930070</v>
      </c>
      <c r="C211" s="1">
        <v>1.4562699999999999E-10</v>
      </c>
      <c r="D211" s="1">
        <v>1.4549333333333335E-10</v>
      </c>
      <c r="E211">
        <v>3.7519999999999998E-2</v>
      </c>
      <c r="F211" s="49">
        <f t="shared" si="380"/>
        <v>0.67133037990439004</v>
      </c>
      <c r="G211" s="1">
        <f t="shared" si="374"/>
        <v>0.68133037990439005</v>
      </c>
      <c r="H211">
        <f t="shared" si="373"/>
        <v>3.7519999999999998E-2</v>
      </c>
      <c r="I211">
        <f t="shared" si="375"/>
        <v>3.9019999999999999E-2</v>
      </c>
      <c r="K211">
        <v>930070</v>
      </c>
      <c r="L211" s="1">
        <v>9.3978399999999989E-11</v>
      </c>
      <c r="M211" s="1">
        <v>9.3916600000000012E-11</v>
      </c>
      <c r="N211">
        <v>3.0980000000000001E-2</v>
      </c>
      <c r="O211" s="1">
        <f t="shared" si="381"/>
        <v>0.43323391249429516</v>
      </c>
      <c r="P211" s="1">
        <f t="shared" si="376"/>
        <v>0.44323391249429517</v>
      </c>
      <c r="Q211">
        <f t="shared" si="382"/>
        <v>3.0980000000000001E-2</v>
      </c>
      <c r="R211">
        <f t="shared" si="377"/>
        <v>3.1130000000000001E-2</v>
      </c>
      <c r="T211">
        <v>930070</v>
      </c>
      <c r="U211" s="1">
        <v>9.2298066666666669E-11</v>
      </c>
      <c r="V211" s="1">
        <v>9.2242299999999993E-11</v>
      </c>
      <c r="W211">
        <v>3.0960000000000001E-2</v>
      </c>
      <c r="X211" s="1">
        <f t="shared" si="383"/>
        <v>0.42548769225331878</v>
      </c>
      <c r="Y211">
        <f t="shared" si="384"/>
        <v>3.0960000000000001E-2</v>
      </c>
      <c r="AB211">
        <v>930070</v>
      </c>
      <c r="AC211" s="1">
        <v>1.4309500000000001E-10</v>
      </c>
      <c r="AD211" s="1">
        <v>1.4296200000000001E-10</v>
      </c>
      <c r="AE211">
        <v>3.5810000000000002E-2</v>
      </c>
      <c r="AF211" s="49">
        <f t="shared" si="385"/>
        <v>0.65965803533972889</v>
      </c>
      <c r="AG211">
        <f t="shared" si="386"/>
        <v>3.5810000000000002E-2</v>
      </c>
      <c r="AJ211">
        <v>930070</v>
      </c>
      <c r="AK211" s="1">
        <v>2.1363266666666665E-10</v>
      </c>
      <c r="AL211" s="1">
        <v>2.1254700000000001E-10</v>
      </c>
      <c r="AM211">
        <v>3.5349999999999999E-2</v>
      </c>
      <c r="AN211" s="49">
        <f t="shared" si="378"/>
        <v>0.98483179131150989</v>
      </c>
      <c r="AO211">
        <f t="shared" si="379"/>
        <v>3.5349999999999999E-2</v>
      </c>
      <c r="AS211" s="1"/>
      <c r="AT211" s="1"/>
      <c r="AV211" s="49"/>
      <c r="BA211" s="1"/>
      <c r="BB211" s="1"/>
      <c r="BD211" s="49"/>
    </row>
    <row r="212" spans="2:56" x14ac:dyDescent="0.25">
      <c r="B212">
        <v>935070</v>
      </c>
      <c r="C212" s="1">
        <v>1.45613E-10</v>
      </c>
      <c r="D212" s="1">
        <v>1.4547899999999999E-10</v>
      </c>
      <c r="E212">
        <v>3.7580000000000002E-2</v>
      </c>
      <c r="F212" s="49">
        <f t="shared" si="380"/>
        <v>0.67126584087441177</v>
      </c>
      <c r="G212" s="1">
        <f t="shared" si="374"/>
        <v>0.68126584087441178</v>
      </c>
      <c r="H212">
        <f t="shared" si="373"/>
        <v>3.7580000000000002E-2</v>
      </c>
      <c r="I212">
        <f t="shared" si="375"/>
        <v>3.9080000000000004E-2</v>
      </c>
      <c r="K212">
        <v>935070</v>
      </c>
      <c r="L212" s="1">
        <v>9.397206666666667E-11</v>
      </c>
      <c r="M212" s="1">
        <v>9.3909866666666669E-11</v>
      </c>
      <c r="N212">
        <v>3.1019999999999999E-2</v>
      </c>
      <c r="O212" s="1">
        <f t="shared" si="381"/>
        <v>0.43320471626644791</v>
      </c>
      <c r="P212" s="1">
        <f t="shared" si="376"/>
        <v>0.44320471626644792</v>
      </c>
      <c r="Q212">
        <f t="shared" si="382"/>
        <v>3.1019999999999999E-2</v>
      </c>
      <c r="R212">
        <f t="shared" si="377"/>
        <v>3.117E-2</v>
      </c>
      <c r="T212">
        <v>935070</v>
      </c>
      <c r="U212" s="1">
        <v>9.2289666666666667E-11</v>
      </c>
      <c r="V212" s="1">
        <v>9.2233733333333331E-11</v>
      </c>
      <c r="W212">
        <v>3.1019999999999999E-2</v>
      </c>
      <c r="X212" s="1">
        <f t="shared" si="383"/>
        <v>0.42544896883533173</v>
      </c>
      <c r="Y212">
        <f t="shared" si="384"/>
        <v>3.1019999999999999E-2</v>
      </c>
      <c r="AB212">
        <v>935070</v>
      </c>
      <c r="AC212" s="1">
        <v>1.4307866666666668E-10</v>
      </c>
      <c r="AD212" s="1">
        <v>1.42946E-10</v>
      </c>
      <c r="AE212">
        <v>3.5889999999999998E-2</v>
      </c>
      <c r="AF212" s="49">
        <f t="shared" si="385"/>
        <v>0.65958273980475424</v>
      </c>
      <c r="AG212">
        <f t="shared" si="386"/>
        <v>3.5889999999999998E-2</v>
      </c>
      <c r="AJ212">
        <v>935070</v>
      </c>
      <c r="AK212" s="1">
        <v>2.1358633333333335E-10</v>
      </c>
      <c r="AL212" s="1">
        <v>2.1249900000000001E-10</v>
      </c>
      <c r="AM212">
        <v>3.5389999999999998E-2</v>
      </c>
      <c r="AN212" s="49">
        <f t="shared" si="378"/>
        <v>0.98461819785515303</v>
      </c>
      <c r="AO212">
        <f t="shared" si="379"/>
        <v>3.5389999999999998E-2</v>
      </c>
      <c r="AS212" s="1"/>
      <c r="AT212" s="1"/>
      <c r="AV212" s="49"/>
      <c r="BA212" s="1"/>
      <c r="BB212" s="1"/>
      <c r="BD212" s="49"/>
    </row>
    <row r="213" spans="2:56" x14ac:dyDescent="0.25">
      <c r="B213">
        <v>940060</v>
      </c>
      <c r="C213" s="1">
        <v>1.4560033333333334E-10</v>
      </c>
      <c r="D213" s="1">
        <v>1.4546566666666666E-10</v>
      </c>
      <c r="E213">
        <v>3.7679999999999998E-2</v>
      </c>
      <c r="F213" s="49">
        <f t="shared" si="380"/>
        <v>0.67120744841871705</v>
      </c>
      <c r="G213" s="1">
        <f t="shared" si="374"/>
        <v>0.68120744841871705</v>
      </c>
      <c r="H213">
        <f t="shared" si="373"/>
        <v>3.7679999999999998E-2</v>
      </c>
      <c r="I213">
        <f t="shared" si="375"/>
        <v>3.918E-2</v>
      </c>
      <c r="K213">
        <v>940060</v>
      </c>
      <c r="L213" s="1">
        <v>9.3964533333333331E-11</v>
      </c>
      <c r="M213" s="1">
        <v>9.3902300000000003E-11</v>
      </c>
      <c r="N213">
        <v>3.109E-2</v>
      </c>
      <c r="O213" s="1">
        <f t="shared" si="381"/>
        <v>0.43316998812174523</v>
      </c>
      <c r="P213" s="1">
        <f t="shared" si="376"/>
        <v>0.44316998812174524</v>
      </c>
      <c r="Q213">
        <f t="shared" si="382"/>
        <v>3.109E-2</v>
      </c>
      <c r="R213">
        <f t="shared" si="377"/>
        <v>3.124E-2</v>
      </c>
      <c r="T213">
        <v>940060</v>
      </c>
      <c r="U213" s="1">
        <v>9.2282199999999994E-11</v>
      </c>
      <c r="V213" s="1">
        <v>9.2226000000000005E-11</v>
      </c>
      <c r="W213">
        <v>3.1060000000000001E-2</v>
      </c>
      <c r="X213" s="1">
        <f t="shared" si="383"/>
        <v>0.42541454801934331</v>
      </c>
      <c r="Y213">
        <f t="shared" si="384"/>
        <v>3.1060000000000001E-2</v>
      </c>
      <c r="AB213">
        <v>940060</v>
      </c>
      <c r="AC213" s="1">
        <v>1.4306566666666668E-10</v>
      </c>
      <c r="AD213" s="1">
        <v>1.4293166666666666E-10</v>
      </c>
      <c r="AE213">
        <v>3.5970000000000002E-2</v>
      </c>
      <c r="AF213" s="49">
        <f t="shared" si="385"/>
        <v>0.65952281070548857</v>
      </c>
      <c r="AG213">
        <f t="shared" si="386"/>
        <v>3.5970000000000002E-2</v>
      </c>
      <c r="AJ213">
        <v>940060</v>
      </c>
      <c r="AK213" s="1">
        <v>2.1353266666666667E-10</v>
      </c>
      <c r="AL213" s="1">
        <v>2.1244399999999997E-10</v>
      </c>
      <c r="AM213">
        <v>3.5459999999999998E-2</v>
      </c>
      <c r="AN213" s="49">
        <f t="shared" si="378"/>
        <v>0.98437079824023588</v>
      </c>
      <c r="AO213">
        <f t="shared" si="379"/>
        <v>3.5459999999999998E-2</v>
      </c>
      <c r="AS213" s="1"/>
      <c r="AT213" s="1"/>
      <c r="AV213" s="49"/>
      <c r="BA213" s="1"/>
      <c r="BB213" s="1"/>
      <c r="BD213" s="49"/>
    </row>
    <row r="214" spans="2:56" x14ac:dyDescent="0.25">
      <c r="B214">
        <v>945060</v>
      </c>
      <c r="C214" s="1">
        <v>1.4558733333333333E-10</v>
      </c>
      <c r="D214" s="1">
        <v>1.4545199999999999E-10</v>
      </c>
      <c r="E214">
        <v>3.7760000000000002E-2</v>
      </c>
      <c r="F214" s="49">
        <f t="shared" si="380"/>
        <v>0.67114751931945127</v>
      </c>
      <c r="G214" s="1">
        <f t="shared" si="374"/>
        <v>0.68114751931945128</v>
      </c>
      <c r="H214">
        <f t="shared" si="373"/>
        <v>3.7760000000000002E-2</v>
      </c>
      <c r="I214">
        <f t="shared" si="375"/>
        <v>3.9260000000000003E-2</v>
      </c>
      <c r="K214">
        <v>945060</v>
      </c>
      <c r="L214" s="1">
        <v>9.3959699999999999E-11</v>
      </c>
      <c r="M214" s="1">
        <v>9.3897400000000005E-11</v>
      </c>
      <c r="N214">
        <v>3.1150000000000001E-2</v>
      </c>
      <c r="O214" s="1">
        <f t="shared" si="381"/>
        <v>0.433147706789967</v>
      </c>
      <c r="P214" s="1">
        <f t="shared" si="376"/>
        <v>0.44314770678996701</v>
      </c>
      <c r="Q214">
        <f t="shared" si="382"/>
        <v>3.1150000000000001E-2</v>
      </c>
      <c r="R214">
        <f t="shared" si="377"/>
        <v>3.1300000000000001E-2</v>
      </c>
      <c r="T214">
        <v>945060</v>
      </c>
      <c r="U214" s="1">
        <v>9.2274099999999997E-11</v>
      </c>
      <c r="V214" s="1">
        <v>9.2217699999999996E-11</v>
      </c>
      <c r="W214">
        <v>3.1130000000000001E-2</v>
      </c>
      <c r="X214" s="1">
        <f t="shared" si="383"/>
        <v>0.42537720758057007</v>
      </c>
      <c r="Y214">
        <f t="shared" si="384"/>
        <v>3.1130000000000001E-2</v>
      </c>
      <c r="AB214">
        <v>945060</v>
      </c>
      <c r="AC214" s="1">
        <v>1.4305433333333334E-10</v>
      </c>
      <c r="AD214" s="1">
        <v>1.4291999999999998E-10</v>
      </c>
      <c r="AE214">
        <v>3.6040000000000003E-2</v>
      </c>
      <c r="AF214" s="49">
        <f t="shared" si="385"/>
        <v>0.65947056482407751</v>
      </c>
      <c r="AG214">
        <f t="shared" si="386"/>
        <v>3.6040000000000003E-2</v>
      </c>
      <c r="AJ214">
        <v>945060</v>
      </c>
      <c r="AK214" s="1">
        <v>2.1348466666666667E-10</v>
      </c>
      <c r="AL214" s="1">
        <v>2.1239466666666667E-10</v>
      </c>
      <c r="AM214">
        <v>3.5520000000000003E-2</v>
      </c>
      <c r="AN214" s="49">
        <f t="shared" si="378"/>
        <v>0.9841495215660242</v>
      </c>
      <c r="AO214">
        <f t="shared" si="379"/>
        <v>3.5520000000000003E-2</v>
      </c>
      <c r="AS214" s="1"/>
      <c r="AT214" s="1"/>
      <c r="AV214" s="49"/>
      <c r="BA214" s="1"/>
      <c r="BB214" s="1"/>
      <c r="BD214" s="49"/>
    </row>
    <row r="215" spans="2:56" x14ac:dyDescent="0.25">
      <c r="B215">
        <v>950050</v>
      </c>
      <c r="C215" s="1">
        <v>1.4557466666666667E-10</v>
      </c>
      <c r="D215" s="1">
        <v>1.4543866666666666E-10</v>
      </c>
      <c r="E215">
        <v>3.7839999999999999E-2</v>
      </c>
      <c r="F215" s="49">
        <f t="shared" si="380"/>
        <v>0.67108912686375666</v>
      </c>
      <c r="G215" s="1">
        <f t="shared" si="374"/>
        <v>0.68108912686375667</v>
      </c>
      <c r="H215">
        <f t="shared" si="373"/>
        <v>3.7839999999999999E-2</v>
      </c>
      <c r="I215">
        <f t="shared" si="375"/>
        <v>3.934E-2</v>
      </c>
      <c r="K215">
        <v>950050</v>
      </c>
      <c r="L215" s="1">
        <v>9.3950600000000006E-11</v>
      </c>
      <c r="M215" s="1">
        <v>9.3887599999999996E-11</v>
      </c>
      <c r="N215">
        <v>3.1199999999999999E-2</v>
      </c>
      <c r="O215" s="1">
        <f t="shared" si="381"/>
        <v>0.43310575642048105</v>
      </c>
      <c r="P215" s="1">
        <f t="shared" si="376"/>
        <v>0.44310575642048106</v>
      </c>
      <c r="Q215">
        <f t="shared" si="382"/>
        <v>3.1199999999999999E-2</v>
      </c>
      <c r="R215">
        <f t="shared" si="377"/>
        <v>3.1349999999999996E-2</v>
      </c>
      <c r="T215">
        <v>950050</v>
      </c>
      <c r="U215" s="1">
        <v>9.2267033333333335E-11</v>
      </c>
      <c r="V215" s="1">
        <v>9.2210433333333335E-11</v>
      </c>
      <c r="W215">
        <v>3.1189999999999999E-2</v>
      </c>
      <c r="X215" s="1">
        <f t="shared" si="383"/>
        <v>0.42534463073686674</v>
      </c>
      <c r="Y215">
        <f t="shared" si="384"/>
        <v>3.1189999999999999E-2</v>
      </c>
      <c r="AB215">
        <v>950050</v>
      </c>
      <c r="AC215" s="1">
        <v>1.43043E-10</v>
      </c>
      <c r="AD215" s="1">
        <v>1.4290799999999998E-10</v>
      </c>
      <c r="AE215">
        <v>3.6110000000000003E-2</v>
      </c>
      <c r="AF215" s="49">
        <f t="shared" si="385"/>
        <v>0.65941831894266634</v>
      </c>
      <c r="AG215">
        <f t="shared" si="386"/>
        <v>3.6110000000000003E-2</v>
      </c>
      <c r="AJ215">
        <v>950050</v>
      </c>
      <c r="AK215" s="1">
        <v>2.1344566666666664E-10</v>
      </c>
      <c r="AL215" s="1">
        <v>2.1235433333333332E-10</v>
      </c>
      <c r="AM215">
        <v>3.5589999999999997E-2</v>
      </c>
      <c r="AN215" s="49">
        <f t="shared" si="378"/>
        <v>0.9839697342682272</v>
      </c>
      <c r="AO215">
        <f t="shared" si="379"/>
        <v>3.5589999999999997E-2</v>
      </c>
      <c r="AS215" s="1"/>
      <c r="AT215" s="1"/>
      <c r="AV215" s="49"/>
      <c r="BA215" s="1"/>
      <c r="BB215" s="1"/>
      <c r="BD215" s="49"/>
    </row>
    <row r="216" spans="2:56" x14ac:dyDescent="0.25">
      <c r="B216">
        <v>955050</v>
      </c>
      <c r="C216" s="1">
        <v>1.4556166666666668E-10</v>
      </c>
      <c r="D216" s="1">
        <v>1.4542533333333331E-10</v>
      </c>
      <c r="E216">
        <v>3.7900000000000003E-2</v>
      </c>
      <c r="F216" s="49">
        <f t="shared" si="380"/>
        <v>0.67102919776449099</v>
      </c>
      <c r="G216" s="1">
        <f t="shared" si="374"/>
        <v>0.681029197764491</v>
      </c>
      <c r="H216">
        <f t="shared" si="373"/>
        <v>3.7900000000000003E-2</v>
      </c>
      <c r="I216">
        <f t="shared" si="375"/>
        <v>3.9400000000000004E-2</v>
      </c>
      <c r="K216">
        <v>955050</v>
      </c>
      <c r="L216" s="1">
        <v>9.3943633333333338E-11</v>
      </c>
      <c r="M216" s="1">
        <v>9.3880266666666669E-11</v>
      </c>
      <c r="N216">
        <v>3.125E-2</v>
      </c>
      <c r="O216" s="1">
        <f t="shared" si="381"/>
        <v>0.43307364056984898</v>
      </c>
      <c r="P216" s="1">
        <f t="shared" si="376"/>
        <v>0.44307364056984899</v>
      </c>
      <c r="Q216">
        <f t="shared" si="382"/>
        <v>3.125E-2</v>
      </c>
      <c r="R216">
        <f t="shared" si="377"/>
        <v>3.1399999999999997E-2</v>
      </c>
      <c r="T216">
        <v>955050</v>
      </c>
      <c r="U216" s="1">
        <v>9.2257666666666664E-11</v>
      </c>
      <c r="V216" s="1">
        <v>9.2200799999999999E-11</v>
      </c>
      <c r="W216">
        <v>3.125E-2</v>
      </c>
      <c r="X216" s="1">
        <f t="shared" si="383"/>
        <v>0.42530145105252404</v>
      </c>
      <c r="Y216">
        <f t="shared" si="384"/>
        <v>3.125E-2</v>
      </c>
      <c r="AB216">
        <v>955050</v>
      </c>
      <c r="AC216" s="1">
        <v>1.4303033333333332E-10</v>
      </c>
      <c r="AD216" s="1">
        <v>1.4289499999999998E-10</v>
      </c>
      <c r="AE216">
        <v>3.6170000000000001E-2</v>
      </c>
      <c r="AF216" s="49">
        <f t="shared" si="385"/>
        <v>0.6593599264869715</v>
      </c>
      <c r="AG216">
        <f t="shared" si="386"/>
        <v>3.6170000000000001E-2</v>
      </c>
      <c r="AJ216">
        <v>955050</v>
      </c>
      <c r="AK216" s="1">
        <v>2.1341633333333333E-10</v>
      </c>
      <c r="AL216" s="1">
        <v>2.1232399999999998E-10</v>
      </c>
      <c r="AM216">
        <v>3.5639999999999998E-2</v>
      </c>
      <c r="AN216" s="49">
        <f t="shared" si="378"/>
        <v>0.98383450963398689</v>
      </c>
      <c r="AO216">
        <f t="shared" si="379"/>
        <v>3.5639999999999998E-2</v>
      </c>
      <c r="AS216" s="1"/>
      <c r="AT216" s="1"/>
      <c r="AV216" s="49"/>
      <c r="BA216" s="1"/>
      <c r="BB216" s="1"/>
      <c r="BD216" s="49"/>
    </row>
    <row r="217" spans="2:56" x14ac:dyDescent="0.25">
      <c r="B217">
        <v>960040</v>
      </c>
      <c r="C217" s="1">
        <v>1.4554933333333334E-10</v>
      </c>
      <c r="D217" s="1">
        <v>1.4541233333333333E-10</v>
      </c>
      <c r="E217">
        <v>3.798E-2</v>
      </c>
      <c r="F217" s="49">
        <f t="shared" si="380"/>
        <v>0.67097234195236721</v>
      </c>
      <c r="G217" s="1">
        <f t="shared" si="374"/>
        <v>0.68097234195236722</v>
      </c>
      <c r="H217">
        <f t="shared" ref="H217:H225" si="387">E217</f>
        <v>3.798E-2</v>
      </c>
      <c r="I217">
        <f t="shared" si="375"/>
        <v>3.9480000000000001E-2</v>
      </c>
      <c r="K217">
        <v>960040</v>
      </c>
      <c r="L217" s="1">
        <v>9.3937133333333334E-11</v>
      </c>
      <c r="M217" s="1">
        <v>9.3873766666666665E-11</v>
      </c>
      <c r="N217">
        <v>3.1329999999999997E-2</v>
      </c>
      <c r="O217" s="1">
        <f t="shared" si="381"/>
        <v>0.4330436760202161</v>
      </c>
      <c r="P217" s="1">
        <f t="shared" si="376"/>
        <v>0.4430436760202161</v>
      </c>
      <c r="Q217">
        <f t="shared" si="382"/>
        <v>3.1329999999999997E-2</v>
      </c>
      <c r="R217">
        <f t="shared" si="377"/>
        <v>3.1479999999999994E-2</v>
      </c>
      <c r="T217">
        <v>960040</v>
      </c>
      <c r="U217" s="1">
        <v>9.2250633333333342E-11</v>
      </c>
      <c r="V217" s="1">
        <v>9.2193566666666664E-11</v>
      </c>
      <c r="W217">
        <v>3.1309999999999998E-2</v>
      </c>
      <c r="X217" s="1">
        <f t="shared" si="383"/>
        <v>0.42526902787317777</v>
      </c>
      <c r="Y217">
        <f t="shared" si="384"/>
        <v>3.1309999999999998E-2</v>
      </c>
      <c r="AB217">
        <v>960040</v>
      </c>
      <c r="AC217" s="1">
        <v>1.4301933333333332E-10</v>
      </c>
      <c r="AD217" s="1">
        <v>1.4288333333333335E-10</v>
      </c>
      <c r="AE217">
        <v>3.6240000000000001E-2</v>
      </c>
      <c r="AF217" s="49">
        <f t="shared" si="385"/>
        <v>0.6593092172491315</v>
      </c>
      <c r="AG217">
        <f t="shared" si="386"/>
        <v>3.6240000000000001E-2</v>
      </c>
      <c r="AJ217">
        <v>960040</v>
      </c>
      <c r="AK217" s="1">
        <v>2.1335233333333335E-10</v>
      </c>
      <c r="AL217" s="1">
        <v>2.1225833333333333E-10</v>
      </c>
      <c r="AM217">
        <v>3.569E-2</v>
      </c>
      <c r="AN217" s="49">
        <f t="shared" si="378"/>
        <v>0.98353947406837161</v>
      </c>
      <c r="AO217">
        <f t="shared" si="379"/>
        <v>3.569E-2</v>
      </c>
      <c r="AS217" s="1"/>
      <c r="AT217" s="1"/>
      <c r="AV217" s="49"/>
      <c r="BA217" s="1"/>
      <c r="BB217" s="1"/>
      <c r="BD217" s="49"/>
    </row>
    <row r="218" spans="2:56" x14ac:dyDescent="0.25">
      <c r="B218">
        <v>965040</v>
      </c>
      <c r="C218" s="1">
        <v>1.4553933333333333E-10</v>
      </c>
      <c r="D218" s="1">
        <v>1.4540166666666666E-10</v>
      </c>
      <c r="E218">
        <v>3.805E-2</v>
      </c>
      <c r="F218" s="49">
        <f t="shared" si="380"/>
        <v>0.6709262426452397</v>
      </c>
      <c r="G218" s="1">
        <f t="shared" ref="G218:G225" si="388">F218+0.01</f>
        <v>0.68092624264523971</v>
      </c>
      <c r="H218">
        <f t="shared" si="387"/>
        <v>3.805E-2</v>
      </c>
      <c r="I218">
        <f t="shared" ref="I218:I223" si="389">H218+0.0015</f>
        <v>3.9550000000000002E-2</v>
      </c>
      <c r="K218">
        <v>965040</v>
      </c>
      <c r="L218" s="1">
        <v>9.3931466666666653E-11</v>
      </c>
      <c r="M218" s="1">
        <v>9.3867699999999998E-11</v>
      </c>
      <c r="N218">
        <v>3.1390000000000001E-2</v>
      </c>
      <c r="O218" s="1">
        <f t="shared" si="381"/>
        <v>0.43301755307951056</v>
      </c>
      <c r="P218" s="1">
        <f t="shared" ref="P218:P225" si="390">O218+0.01</f>
        <v>0.44301755307951057</v>
      </c>
      <c r="Q218">
        <f t="shared" si="382"/>
        <v>3.1390000000000001E-2</v>
      </c>
      <c r="R218">
        <f t="shared" ref="R218:R225" si="391">Q218+0.00015</f>
        <v>3.1539999999999999E-2</v>
      </c>
      <c r="T218">
        <v>965040</v>
      </c>
      <c r="U218" s="1">
        <v>9.2242400000000012E-11</v>
      </c>
      <c r="V218" s="1">
        <v>9.2185133333333335E-11</v>
      </c>
      <c r="W218">
        <v>3.1370000000000002E-2</v>
      </c>
      <c r="X218" s="1">
        <f t="shared" si="383"/>
        <v>0.4252310727769763</v>
      </c>
      <c r="Y218">
        <f t="shared" si="384"/>
        <v>3.1370000000000002E-2</v>
      </c>
      <c r="AB218">
        <v>965040</v>
      </c>
      <c r="AC218" s="1">
        <v>1.4300733333333332E-10</v>
      </c>
      <c r="AD218" s="1">
        <v>1.4287066666666666E-10</v>
      </c>
      <c r="AE218">
        <v>3.6310000000000002E-2</v>
      </c>
      <c r="AF218" s="49">
        <f t="shared" si="385"/>
        <v>0.65925389808057844</v>
      </c>
      <c r="AG218">
        <f t="shared" si="386"/>
        <v>3.6310000000000002E-2</v>
      </c>
      <c r="AJ218">
        <v>965040</v>
      </c>
      <c r="AK218" s="1">
        <v>2.1329666666666666E-10</v>
      </c>
      <c r="AL218" s="1">
        <v>2.1220133333333335E-10</v>
      </c>
      <c r="AM218">
        <v>3.5749999999999997E-2</v>
      </c>
      <c r="AN218" s="49">
        <f t="shared" ref="AN218:AN225" si="392">(AK218*AI$9)/(AI$12*AI$5)</f>
        <v>0.9832828545920288</v>
      </c>
      <c r="AO218">
        <f t="shared" si="379"/>
        <v>3.5749999999999997E-2</v>
      </c>
      <c r="AS218" s="1"/>
      <c r="AT218" s="1"/>
      <c r="AV218" s="49"/>
      <c r="BA218" s="1"/>
      <c r="BB218" s="1"/>
      <c r="BD218" s="49"/>
    </row>
    <row r="219" spans="2:56" x14ac:dyDescent="0.25">
      <c r="B219">
        <v>970030</v>
      </c>
      <c r="C219" s="1">
        <v>1.4552733333333333E-10</v>
      </c>
      <c r="D219" s="1">
        <v>1.4538933333333331E-10</v>
      </c>
      <c r="E219">
        <v>3.8129999999999997E-2</v>
      </c>
      <c r="F219" s="49">
        <f t="shared" si="380"/>
        <v>0.67087092347668686</v>
      </c>
      <c r="G219" s="1">
        <f t="shared" si="388"/>
        <v>0.68087092347668687</v>
      </c>
      <c r="H219">
        <f t="shared" si="387"/>
        <v>3.8129999999999997E-2</v>
      </c>
      <c r="I219">
        <f t="shared" si="389"/>
        <v>3.9629999999999999E-2</v>
      </c>
      <c r="K219">
        <v>970030</v>
      </c>
      <c r="L219" s="1">
        <v>9.3926233333333323E-11</v>
      </c>
      <c r="M219" s="1">
        <v>9.3862066666666657E-11</v>
      </c>
      <c r="N219">
        <v>3.143E-2</v>
      </c>
      <c r="O219" s="1">
        <f t="shared" si="381"/>
        <v>0.43299342777544719</v>
      </c>
      <c r="P219" s="1">
        <f t="shared" si="390"/>
        <v>0.4429934277754472</v>
      </c>
      <c r="Q219">
        <f t="shared" si="382"/>
        <v>3.143E-2</v>
      </c>
      <c r="R219">
        <f t="shared" si="391"/>
        <v>3.1579999999999997E-2</v>
      </c>
      <c r="T219">
        <v>970030</v>
      </c>
      <c r="U219" s="1">
        <v>9.2235499999999996E-11</v>
      </c>
      <c r="V219" s="1">
        <v>9.2178000000000007E-11</v>
      </c>
      <c r="W219">
        <v>3.1419999999999997E-2</v>
      </c>
      <c r="X219" s="1">
        <f t="shared" si="383"/>
        <v>0.42519926425505827</v>
      </c>
      <c r="Y219">
        <f t="shared" si="384"/>
        <v>3.1419999999999997E-2</v>
      </c>
      <c r="AB219">
        <v>970030</v>
      </c>
      <c r="AC219" s="1">
        <v>1.4299466666666666E-10</v>
      </c>
      <c r="AD219" s="1">
        <v>1.4285799999999999E-10</v>
      </c>
      <c r="AE219">
        <v>3.6380000000000003E-2</v>
      </c>
      <c r="AF219" s="49">
        <f t="shared" si="385"/>
        <v>0.65919550562488383</v>
      </c>
      <c r="AG219">
        <f t="shared" si="386"/>
        <v>3.6380000000000003E-2</v>
      </c>
      <c r="AJ219">
        <v>970030</v>
      </c>
      <c r="AK219" s="1">
        <v>2.1324866666666669E-10</v>
      </c>
      <c r="AL219" s="1">
        <v>2.1215266666666667E-10</v>
      </c>
      <c r="AM219">
        <v>3.5810000000000002E-2</v>
      </c>
      <c r="AN219" s="49">
        <f t="shared" si="392"/>
        <v>0.98306157791781734</v>
      </c>
      <c r="AO219">
        <f t="shared" ref="AO219:AO225" si="393">AM219</f>
        <v>3.5810000000000002E-2</v>
      </c>
      <c r="AS219" s="1"/>
      <c r="AT219" s="1"/>
      <c r="AV219" s="49"/>
      <c r="BA219" s="1"/>
      <c r="BB219" s="1"/>
      <c r="BD219" s="49"/>
    </row>
    <row r="220" spans="2:56" x14ac:dyDescent="0.25">
      <c r="B220">
        <v>975030</v>
      </c>
      <c r="C220" s="1">
        <v>1.4551733333333332E-10</v>
      </c>
      <c r="D220" s="1">
        <v>1.4537899999999998E-10</v>
      </c>
      <c r="E220">
        <v>3.8219999999999997E-2</v>
      </c>
      <c r="F220" s="49">
        <f t="shared" si="380"/>
        <v>0.67082482416955946</v>
      </c>
      <c r="G220" s="1">
        <f t="shared" si="388"/>
        <v>0.68082482416955947</v>
      </c>
      <c r="H220">
        <f t="shared" si="387"/>
        <v>3.8219999999999997E-2</v>
      </c>
      <c r="I220">
        <f t="shared" si="389"/>
        <v>3.9719999999999998E-2</v>
      </c>
      <c r="K220">
        <v>975030</v>
      </c>
      <c r="L220" s="1">
        <v>9.3916799999999998E-11</v>
      </c>
      <c r="M220" s="1">
        <v>9.3852600000000006E-11</v>
      </c>
      <c r="N220">
        <v>3.1480000000000001E-2</v>
      </c>
      <c r="O220" s="1">
        <f t="shared" si="381"/>
        <v>0.43294994076239035</v>
      </c>
      <c r="P220" s="1">
        <f t="shared" si="390"/>
        <v>0.44294994076239036</v>
      </c>
      <c r="Q220">
        <f t="shared" si="382"/>
        <v>3.1480000000000001E-2</v>
      </c>
      <c r="R220">
        <f t="shared" si="391"/>
        <v>3.1629999999999998E-2</v>
      </c>
      <c r="T220">
        <v>975030</v>
      </c>
      <c r="U220" s="1">
        <v>9.2226099999999999E-11</v>
      </c>
      <c r="V220" s="1">
        <v>9.2168366666666671E-11</v>
      </c>
      <c r="W220">
        <v>3.15E-2</v>
      </c>
      <c r="X220" s="1">
        <f t="shared" si="383"/>
        <v>0.4251559309063585</v>
      </c>
      <c r="Y220">
        <f t="shared" si="384"/>
        <v>3.15E-2</v>
      </c>
      <c r="AB220">
        <v>975030</v>
      </c>
      <c r="AC220" s="1">
        <v>1.4298300000000001E-10</v>
      </c>
      <c r="AD220" s="1">
        <v>1.4284566666666668E-10</v>
      </c>
      <c r="AE220">
        <v>3.644E-2</v>
      </c>
      <c r="AF220" s="49">
        <f t="shared" si="385"/>
        <v>0.65914172309990193</v>
      </c>
      <c r="AG220">
        <f t="shared" si="386"/>
        <v>3.644E-2</v>
      </c>
      <c r="AJ220">
        <v>975030</v>
      </c>
      <c r="AK220" s="1">
        <v>2.1313633333333336E-10</v>
      </c>
      <c r="AL220" s="1">
        <v>2.1203933333333336E-10</v>
      </c>
      <c r="AM220">
        <v>3.5860000000000003E-2</v>
      </c>
      <c r="AN220" s="49">
        <f t="shared" si="392"/>
        <v>0.98254372903441956</v>
      </c>
      <c r="AO220">
        <f t="shared" si="393"/>
        <v>3.5860000000000003E-2</v>
      </c>
      <c r="AS220" s="1"/>
      <c r="AT220" s="1"/>
      <c r="AV220" s="49"/>
      <c r="BA220" s="1"/>
      <c r="BB220" s="1"/>
      <c r="BD220" s="49"/>
    </row>
    <row r="221" spans="2:56" x14ac:dyDescent="0.25">
      <c r="B221">
        <v>980020</v>
      </c>
      <c r="C221" s="1">
        <v>1.4550633333333331E-10</v>
      </c>
      <c r="D221" s="1">
        <v>1.4536699999999999E-10</v>
      </c>
      <c r="E221">
        <v>3.8269999999999998E-2</v>
      </c>
      <c r="F221" s="49">
        <f t="shared" si="380"/>
        <v>0.67077411493171912</v>
      </c>
      <c r="G221" s="1">
        <f t="shared" si="388"/>
        <v>0.68077411493171913</v>
      </c>
      <c r="H221">
        <f t="shared" si="387"/>
        <v>3.8269999999999998E-2</v>
      </c>
      <c r="I221">
        <f t="shared" si="389"/>
        <v>3.977E-2</v>
      </c>
      <c r="K221">
        <v>980020</v>
      </c>
      <c r="L221" s="1">
        <v>9.3910633333333339E-11</v>
      </c>
      <c r="M221" s="1">
        <v>9.3846433333333347E-11</v>
      </c>
      <c r="N221">
        <v>3.1539999999999999E-2</v>
      </c>
      <c r="O221" s="1">
        <f t="shared" si="381"/>
        <v>0.43292151285632846</v>
      </c>
      <c r="P221" s="1">
        <f t="shared" si="390"/>
        <v>0.44292151285632847</v>
      </c>
      <c r="Q221">
        <f t="shared" si="382"/>
        <v>3.1539999999999999E-2</v>
      </c>
      <c r="R221">
        <f t="shared" si="391"/>
        <v>3.1689999999999996E-2</v>
      </c>
      <c r="T221">
        <v>980020</v>
      </c>
      <c r="U221" s="1">
        <v>9.2219233333333349E-11</v>
      </c>
      <c r="V221" s="1">
        <v>9.2161233333333329E-11</v>
      </c>
      <c r="W221">
        <v>3.1559999999999998E-2</v>
      </c>
      <c r="X221" s="1">
        <f t="shared" si="383"/>
        <v>0.42512427604879771</v>
      </c>
      <c r="Y221">
        <f t="shared" si="384"/>
        <v>3.1559999999999998E-2</v>
      </c>
      <c r="AB221">
        <v>980020</v>
      </c>
      <c r="AC221" s="1">
        <v>1.4297133333333335E-10</v>
      </c>
      <c r="AD221" s="1">
        <v>1.4283366666666668E-10</v>
      </c>
      <c r="AE221">
        <v>3.6519999999999997E-2</v>
      </c>
      <c r="AF221" s="49">
        <f t="shared" si="385"/>
        <v>0.65908794057492004</v>
      </c>
      <c r="AG221">
        <f t="shared" si="386"/>
        <v>3.6519999999999997E-2</v>
      </c>
      <c r="AJ221">
        <v>980020</v>
      </c>
      <c r="AK221" s="1">
        <v>2.1300799999999998E-10</v>
      </c>
      <c r="AL221" s="1">
        <v>2.1191133333333335E-10</v>
      </c>
      <c r="AM221">
        <v>3.5909999999999997E-2</v>
      </c>
      <c r="AN221" s="49">
        <f t="shared" si="392"/>
        <v>0.98195212125961751</v>
      </c>
      <c r="AO221">
        <f t="shared" si="393"/>
        <v>3.5909999999999997E-2</v>
      </c>
      <c r="AS221" s="1"/>
      <c r="AT221" s="1"/>
      <c r="AV221" s="49"/>
      <c r="BA221" s="1"/>
      <c r="BB221" s="1"/>
      <c r="BD221" s="49"/>
    </row>
    <row r="222" spans="2:56" x14ac:dyDescent="0.25">
      <c r="B222">
        <v>985020</v>
      </c>
      <c r="C222" s="1">
        <v>1.4549466666666665E-10</v>
      </c>
      <c r="D222" s="1">
        <v>1.4535499999999999E-10</v>
      </c>
      <c r="E222">
        <v>3.8359999999999998E-2</v>
      </c>
      <c r="F222" s="49">
        <f t="shared" si="380"/>
        <v>0.67072033240673723</v>
      </c>
      <c r="G222" s="1">
        <f t="shared" si="388"/>
        <v>0.68072033240673724</v>
      </c>
      <c r="H222">
        <f t="shared" si="387"/>
        <v>3.8359999999999998E-2</v>
      </c>
      <c r="I222">
        <f t="shared" si="389"/>
        <v>3.986E-2</v>
      </c>
      <c r="K222">
        <v>985020</v>
      </c>
      <c r="L222" s="1">
        <v>9.3904466666666667E-11</v>
      </c>
      <c r="M222" s="1">
        <v>9.3839533333333331E-11</v>
      </c>
      <c r="N222">
        <v>3.159E-2</v>
      </c>
      <c r="O222" s="1">
        <f t="shared" si="381"/>
        <v>0.43289308495026652</v>
      </c>
      <c r="P222" s="1">
        <f t="shared" si="390"/>
        <v>0.44289308495026652</v>
      </c>
      <c r="Q222">
        <f t="shared" si="382"/>
        <v>3.159E-2</v>
      </c>
      <c r="R222">
        <f t="shared" si="391"/>
        <v>3.1739999999999997E-2</v>
      </c>
      <c r="T222">
        <v>985020</v>
      </c>
      <c r="U222" s="1">
        <v>9.2212066666666668E-11</v>
      </c>
      <c r="V222" s="1">
        <v>9.2153833333333336E-11</v>
      </c>
      <c r="W222">
        <v>3.1620000000000002E-2</v>
      </c>
      <c r="X222" s="1">
        <f t="shared" si="383"/>
        <v>0.42509123821202305</v>
      </c>
      <c r="Y222">
        <f t="shared" si="384"/>
        <v>3.1620000000000002E-2</v>
      </c>
      <c r="AB222">
        <v>985020</v>
      </c>
      <c r="AC222" s="1">
        <v>1.4295666666666667E-10</v>
      </c>
      <c r="AD222" s="1">
        <v>1.4281866666666668E-10</v>
      </c>
      <c r="AE222">
        <v>3.6560000000000002E-2</v>
      </c>
      <c r="AF222" s="49">
        <f t="shared" si="385"/>
        <v>0.65902032825779977</v>
      </c>
      <c r="AG222">
        <f t="shared" si="386"/>
        <v>3.6560000000000002E-2</v>
      </c>
      <c r="AJ222">
        <v>985020</v>
      </c>
      <c r="AK222" s="1">
        <v>2.1291766666666666E-10</v>
      </c>
      <c r="AL222" s="1">
        <v>2.1182033333333337E-10</v>
      </c>
      <c r="AM222">
        <v>3.5979999999999998E-2</v>
      </c>
      <c r="AN222" s="49">
        <f t="shared" si="392"/>
        <v>0.98153569085189984</v>
      </c>
      <c r="AO222">
        <f t="shared" si="393"/>
        <v>3.5979999999999998E-2</v>
      </c>
      <c r="AS222" s="1"/>
      <c r="AT222" s="1"/>
      <c r="AV222" s="49"/>
      <c r="BA222" s="1"/>
      <c r="BB222" s="1"/>
      <c r="BD222" s="49"/>
    </row>
    <row r="223" spans="2:56" x14ac:dyDescent="0.25">
      <c r="B223">
        <v>990010</v>
      </c>
      <c r="C223" s="1">
        <v>1.45483E-10</v>
      </c>
      <c r="D223" s="1">
        <v>1.4534266666666667E-10</v>
      </c>
      <c r="E223">
        <v>3.8420000000000003E-2</v>
      </c>
      <c r="F223" s="49">
        <f t="shared" si="380"/>
        <v>0.67066654988175534</v>
      </c>
      <c r="G223" s="1">
        <f t="shared" si="388"/>
        <v>0.68066654988175535</v>
      </c>
      <c r="H223">
        <f t="shared" si="387"/>
        <v>3.8420000000000003E-2</v>
      </c>
      <c r="I223">
        <f t="shared" si="389"/>
        <v>3.9920000000000004E-2</v>
      </c>
      <c r="K223">
        <v>990010</v>
      </c>
      <c r="L223" s="1">
        <v>9.389766666666667E-11</v>
      </c>
      <c r="M223" s="1">
        <v>9.3832699999999995E-11</v>
      </c>
      <c r="N223">
        <v>3.1660000000000001E-2</v>
      </c>
      <c r="O223" s="1">
        <f t="shared" si="381"/>
        <v>0.43286173742141992</v>
      </c>
      <c r="P223" s="1">
        <f t="shared" si="390"/>
        <v>0.44286173742141993</v>
      </c>
      <c r="Q223">
        <f t="shared" si="382"/>
        <v>3.1660000000000001E-2</v>
      </c>
      <c r="R223">
        <f t="shared" si="391"/>
        <v>3.1809999999999998E-2</v>
      </c>
      <c r="T223">
        <v>990010</v>
      </c>
      <c r="U223" s="1">
        <v>9.2204666666666674E-11</v>
      </c>
      <c r="V223" s="1">
        <v>9.214623333333333E-11</v>
      </c>
      <c r="W223">
        <v>3.1660000000000001E-2</v>
      </c>
      <c r="X223" s="1">
        <f t="shared" si="383"/>
        <v>0.42505712472474882</v>
      </c>
      <c r="Y223">
        <f t="shared" si="384"/>
        <v>3.1660000000000001E-2</v>
      </c>
      <c r="AB223">
        <v>990010</v>
      </c>
      <c r="AC223" s="1">
        <v>1.4294433333333333E-10</v>
      </c>
      <c r="AD223" s="1">
        <v>1.4280533333333335E-10</v>
      </c>
      <c r="AE223">
        <v>3.6630000000000003E-2</v>
      </c>
      <c r="AF223" s="49">
        <f t="shared" si="385"/>
        <v>0.65896347244567588</v>
      </c>
      <c r="AG223">
        <f t="shared" si="386"/>
        <v>3.6630000000000003E-2</v>
      </c>
      <c r="AJ223">
        <v>990010</v>
      </c>
      <c r="AK223" s="1">
        <v>2.128526666666667E-10</v>
      </c>
      <c r="AL223" s="1">
        <v>2.1175433333333332E-10</v>
      </c>
      <c r="AM223">
        <v>3.603E-2</v>
      </c>
      <c r="AN223" s="49">
        <f t="shared" si="392"/>
        <v>0.98123604535557185</v>
      </c>
      <c r="AO223">
        <f t="shared" si="393"/>
        <v>3.603E-2</v>
      </c>
      <c r="AS223" s="1"/>
      <c r="AT223" s="1"/>
      <c r="AV223" s="49"/>
      <c r="BA223" s="1"/>
      <c r="BB223" s="1"/>
      <c r="BD223" s="49"/>
    </row>
    <row r="224" spans="2:56" x14ac:dyDescent="0.25">
      <c r="B224">
        <v>995010</v>
      </c>
      <c r="C224" s="1">
        <v>1.4547166666666666E-10</v>
      </c>
      <c r="D224" s="1">
        <v>1.4533099999999999E-10</v>
      </c>
      <c r="E224">
        <v>3.8490000000000003E-2</v>
      </c>
      <c r="F224" s="49">
        <f t="shared" si="380"/>
        <v>0.67061430400034416</v>
      </c>
      <c r="G224" s="1">
        <f t="shared" si="388"/>
        <v>0.68061430400034417</v>
      </c>
      <c r="H224">
        <f t="shared" si="387"/>
        <v>3.8490000000000003E-2</v>
      </c>
      <c r="I224">
        <f>H224+0.0015</f>
        <v>3.9990000000000005E-2</v>
      </c>
      <c r="K224">
        <v>995010</v>
      </c>
      <c r="L224" s="1">
        <v>9.3890199999999998E-11</v>
      </c>
      <c r="M224" s="1">
        <v>9.3825233333333335E-11</v>
      </c>
      <c r="N224">
        <v>3.1710000000000002E-2</v>
      </c>
      <c r="O224" s="1">
        <f t="shared" si="381"/>
        <v>0.4328273166054315</v>
      </c>
      <c r="P224" s="1">
        <f t="shared" si="390"/>
        <v>0.44282731660543151</v>
      </c>
      <c r="Q224">
        <f t="shared" si="382"/>
        <v>3.1710000000000002E-2</v>
      </c>
      <c r="R224">
        <f t="shared" si="391"/>
        <v>3.1859999999999999E-2</v>
      </c>
      <c r="T224">
        <v>995010</v>
      </c>
      <c r="U224" s="1">
        <v>9.2197533333333346E-11</v>
      </c>
      <c r="V224" s="1">
        <v>9.2138866666666676E-11</v>
      </c>
      <c r="W224">
        <v>3.1719999999999998E-2</v>
      </c>
      <c r="X224" s="1">
        <f t="shared" si="383"/>
        <v>0.42502424055233129</v>
      </c>
      <c r="Y224">
        <f t="shared" si="384"/>
        <v>3.1719999999999998E-2</v>
      </c>
      <c r="AB224">
        <v>995010</v>
      </c>
      <c r="AC224" s="1">
        <v>1.4293266666666667E-10</v>
      </c>
      <c r="AD224" s="1">
        <v>1.4279333333333335E-10</v>
      </c>
      <c r="AE224">
        <v>3.6700000000000003E-2</v>
      </c>
      <c r="AF224" s="49">
        <f t="shared" si="385"/>
        <v>0.65890968992069399</v>
      </c>
      <c r="AG224">
        <f t="shared" si="386"/>
        <v>3.6700000000000003E-2</v>
      </c>
      <c r="AJ224">
        <v>995010</v>
      </c>
      <c r="AK224" s="1">
        <v>2.1280400000000004E-10</v>
      </c>
      <c r="AL224" s="1">
        <v>2.1170433333333333E-10</v>
      </c>
      <c r="AM224">
        <v>3.6080000000000001E-2</v>
      </c>
      <c r="AN224" s="49">
        <f t="shared" si="392"/>
        <v>0.98101169539421851</v>
      </c>
      <c r="AO224">
        <f t="shared" si="393"/>
        <v>3.6080000000000001E-2</v>
      </c>
      <c r="AS224" s="1"/>
      <c r="AT224" s="1"/>
      <c r="AV224" s="49"/>
      <c r="BA224" s="1"/>
      <c r="BB224" s="1"/>
      <c r="BD224" s="49"/>
    </row>
    <row r="225" spans="2:56" x14ac:dyDescent="0.25">
      <c r="B225">
        <v>1000000</v>
      </c>
      <c r="C225" s="1">
        <v>1.4546033333333333E-10</v>
      </c>
      <c r="D225" s="1">
        <v>1.4531933333333333E-10</v>
      </c>
      <c r="E225">
        <v>3.8490000000000003E-2</v>
      </c>
      <c r="F225" s="49">
        <f t="shared" si="380"/>
        <v>0.6705620581189331</v>
      </c>
      <c r="G225" s="1">
        <f t="shared" si="388"/>
        <v>0.68056205811893311</v>
      </c>
      <c r="H225">
        <f t="shared" si="387"/>
        <v>3.8490000000000003E-2</v>
      </c>
      <c r="I225">
        <f>H225+0.0015</f>
        <v>3.9990000000000005E-2</v>
      </c>
      <c r="K225">
        <v>1000000</v>
      </c>
      <c r="L225" s="1">
        <v>9.3881866666666662E-11</v>
      </c>
      <c r="M225" s="1">
        <v>9.3816466666666674E-11</v>
      </c>
      <c r="N225">
        <v>3.1759999999999997E-2</v>
      </c>
      <c r="O225" s="1">
        <f t="shared" si="381"/>
        <v>0.43278890051615859</v>
      </c>
      <c r="P225" s="1">
        <f t="shared" si="390"/>
        <v>0.4427889005161586</v>
      </c>
      <c r="Q225">
        <f t="shared" si="382"/>
        <v>3.1759999999999997E-2</v>
      </c>
      <c r="R225">
        <f t="shared" si="391"/>
        <v>3.1909999999999994E-2</v>
      </c>
      <c r="T225">
        <v>1000000</v>
      </c>
      <c r="U225" s="1">
        <v>9.2189866666666661E-11</v>
      </c>
      <c r="V225" s="1">
        <v>9.2130933333333325E-11</v>
      </c>
      <c r="W225">
        <v>3.1789999999999999E-2</v>
      </c>
      <c r="X225" s="1">
        <f t="shared" si="383"/>
        <v>0.42498889775020016</v>
      </c>
      <c r="Y225">
        <f t="shared" si="384"/>
        <v>3.1789999999999999E-2</v>
      </c>
      <c r="AB225">
        <v>1000000</v>
      </c>
      <c r="AC225" s="1">
        <v>1.4291933333333332E-10</v>
      </c>
      <c r="AD225" s="1">
        <v>1.4278E-10</v>
      </c>
      <c r="AE225">
        <v>3.6769999999999997E-2</v>
      </c>
      <c r="AF225" s="49">
        <f t="shared" si="385"/>
        <v>0.65884822417785727</v>
      </c>
      <c r="AG225">
        <f t="shared" si="386"/>
        <v>3.6769999999999997E-2</v>
      </c>
      <c r="AJ225">
        <v>1000000</v>
      </c>
      <c r="AK225" s="1">
        <v>2.1275533333333335E-10</v>
      </c>
      <c r="AL225" s="1">
        <v>2.11655E-10</v>
      </c>
      <c r="AM225">
        <v>3.6150000000000002E-2</v>
      </c>
      <c r="AN225" s="49">
        <f t="shared" si="392"/>
        <v>0.98078734543286505</v>
      </c>
      <c r="AO225">
        <f t="shared" si="393"/>
        <v>3.6150000000000002E-2</v>
      </c>
      <c r="AS225" s="1"/>
      <c r="AT225" s="1"/>
      <c r="AV225" s="49"/>
      <c r="BA225" s="1"/>
      <c r="BB225" s="1"/>
      <c r="BD225" s="4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All dielectric constant &amp;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2026-09-27T15:41:41Z</dcterms:modified>
</cp:coreProperties>
</file>